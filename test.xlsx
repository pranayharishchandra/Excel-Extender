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720" tabRatio="454" firstSheet="0" activeTab="2" autoFilterDateGrouping="1"/>
  </bookViews>
  <sheets>
    <sheet name="Sheet1" sheetId="1" state="visible" r:id="rId1"/>
    <sheet name="Sheet2" sheetId="2" state="visible" r:id="rId2"/>
    <sheet name="Sheet3" sheetId="3" state="visible" r:id="rId3"/>
    <sheet name="BIE Creation Sheet" sheetId="4" state="visible" r:id="rId4"/>
  </sheets>
  <definedNames>
    <definedName name="ps">Sheet2!$L$3:$O$27</definedName>
    <definedName name="_xlnm._FilterDatabase" localSheetId="1" hidden="1">'Sheet2'!$A$1:$J$401</definedName>
    <definedName name="_xlnm._FilterDatabase" localSheetId="2" hidden="1">'Sheet3'!$A$1:$H$401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-* #,##0.00_-;\-* #,##0.00_-;_-* &quot;-&quot;??_-;_-@_-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Arial"/>
      <family val="2"/>
      <sz val="10"/>
    </font>
    <font>
      <name val="ＭＳ Ｐゴシック"/>
      <charset val="128"/>
      <sz val="11"/>
    </font>
    <font>
      <name val="Czcionka tekstu podstawowego"/>
      <charset val="238"/>
      <family val="2"/>
      <color theme="1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color rgb="FFFF0000"/>
      <sz val="10"/>
    </font>
    <font>
      <name val="Tahoma"/>
      <family val="2"/>
      <b val="1"/>
      <color theme="1"/>
      <sz val="8.449999999999999"/>
    </font>
    <font>
      <name val="Calibri"/>
      <family val="2"/>
      <b val="1"/>
      <color rgb="FFFF0000"/>
      <sz val="10"/>
    </font>
    <font>
      <name val="Calibri"/>
      <family val="2"/>
      <b val="1"/>
      <color theme="1"/>
      <sz val="10"/>
    </font>
    <font>
      <name val="Calibri"/>
      <family val="2"/>
      <i val="1"/>
      <color rgb="FFFF0000"/>
      <sz val="10"/>
    </font>
    <font>
      <name val="Calibri"/>
      <family val="2"/>
      <i val="1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4"/>
      <sz val="11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sz val="10"/>
    </font>
    <font>
      <name val="Aptos"/>
      <family val="2"/>
      <color theme="1"/>
      <sz val="12"/>
    </font>
    <font>
      <name val="Calibri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815363017670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9">
    <xf numFmtId="0" fontId="16" fillId="0" borderId="0" applyAlignment="1">
      <alignment horizontal="center" vertical="top"/>
    </xf>
    <xf numFmtId="0" fontId="16" fillId="2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 applyAlignment="1">
      <alignment horizontal="center" vertical="top"/>
    </xf>
    <xf numFmtId="0" fontId="16" fillId="0" borderId="0" applyAlignment="1">
      <alignment horizontal="center" vertical="top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6" fillId="0" borderId="0"/>
    <xf numFmtId="0" fontId="16" fillId="0" borderId="0"/>
    <xf numFmtId="0" fontId="1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6" fillId="0" borderId="0"/>
  </cellStyleXfs>
  <cellXfs count="76">
    <xf numFmtId="0" fontId="0" fillId="0" borderId="0" applyAlignment="1" pivotButton="0" quotePrefix="0" xfId="0">
      <alignment horizontal="center" vertical="top"/>
    </xf>
    <xf numFmtId="0" fontId="0" fillId="0" borderId="0" pivotButton="0" quotePrefix="0" xfId="0"/>
    <xf numFmtId="49" fontId="5" fillId="0" borderId="0" applyAlignment="1" applyProtection="1" pivotButton="0" quotePrefix="0" xfId="0">
      <alignment horizontal="left"/>
      <protection locked="0" hidden="0"/>
    </xf>
    <xf numFmtId="49" fontId="6" fillId="0" borderId="1" applyAlignment="1" applyProtection="1" pivotButton="0" quotePrefix="0" xfId="0">
      <alignment horizontal="left" wrapText="1"/>
      <protection locked="0" hidden="0"/>
    </xf>
    <xf numFmtId="0" fontId="8" fillId="4" borderId="0" applyAlignment="1" pivotButton="0" quotePrefix="0" xfId="0">
      <alignment horizontal="center" vertical="top" wrapText="1"/>
    </xf>
    <xf numFmtId="49" fontId="1" fillId="3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left" vertical="top"/>
    </xf>
    <xf numFmtId="0" fontId="11" fillId="6" borderId="0" applyAlignment="1" pivotButton="0" quotePrefix="0" xfId="0">
      <alignment horizontal="left" wrapText="1"/>
    </xf>
    <xf numFmtId="49" fontId="6" fillId="3" borderId="1" applyAlignment="1" applyProtection="1" pivotButton="0" quotePrefix="0" xfId="0">
      <alignment horizontal="left" wrapText="1"/>
      <protection locked="0" hidden="0"/>
    </xf>
    <xf numFmtId="0" fontId="12" fillId="6" borderId="0" applyAlignment="1" pivotButton="0" quotePrefix="0" xfId="0">
      <alignment horizontal="left"/>
    </xf>
    <xf numFmtId="49" fontId="13" fillId="3" borderId="0" applyAlignment="1" pivotButton="0" quotePrefix="0" xfId="0">
      <alignment horizontal="left" vertical="top"/>
    </xf>
    <xf numFmtId="49" fontId="9" fillId="0" borderId="1" applyAlignment="1" applyProtection="1" pivotButton="0" quotePrefix="0" xfId="0">
      <alignment horizontal="left" wrapText="1"/>
      <protection locked="0" hidden="0"/>
    </xf>
    <xf numFmtId="164" fontId="5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49" fontId="1" fillId="0" borderId="0" applyAlignment="1" applyProtection="1" pivotButton="0" quotePrefix="0" xfId="0">
      <alignment horizontal="left"/>
      <protection locked="0" hidden="0"/>
    </xf>
    <xf numFmtId="2" fontId="6" fillId="0" borderId="1" applyAlignment="1" applyProtection="1" pivotButton="0" quotePrefix="0" xfId="0">
      <alignment horizontal="left" wrapText="1"/>
      <protection locked="0" hidden="0"/>
    </xf>
    <xf numFmtId="49" fontId="1" fillId="0" borderId="0" applyAlignment="1" pivotButton="0" quotePrefix="0" xfId="0">
      <alignment horizontal="left"/>
    </xf>
    <xf numFmtId="1" fontId="1" fillId="0" borderId="0" applyAlignment="1" applyProtection="1" pivotButton="0" quotePrefix="0" xfId="0">
      <alignment horizontal="left"/>
      <protection locked="0" hidden="0"/>
    </xf>
    <xf numFmtId="49" fontId="9" fillId="3" borderId="1" applyAlignment="1" applyProtection="1" pivotButton="0" quotePrefix="0" xfId="0">
      <alignment horizontal="left" wrapText="1"/>
      <protection locked="0" hidden="0"/>
    </xf>
    <xf numFmtId="1" fontId="0" fillId="0" borderId="0" applyAlignment="1" pivotButton="0" quotePrefix="0" xfId="0">
      <alignment horizontal="center" vertical="top"/>
    </xf>
    <xf numFmtId="49" fontId="5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left" vertical="top"/>
    </xf>
    <xf numFmtId="2" fontId="6" fillId="3" borderId="1" applyAlignment="1" applyProtection="1" pivotButton="0" quotePrefix="0" xfId="0">
      <alignment horizontal="left" wrapText="1"/>
      <protection locked="0" hidden="0"/>
    </xf>
    <xf numFmtId="49" fontId="12" fillId="0" borderId="0" applyAlignment="1" pivotButton="0" quotePrefix="0" xfId="0">
      <alignment horizontal="left"/>
    </xf>
    <xf numFmtId="1" fontId="9" fillId="0" borderId="1" applyAlignment="1" applyProtection="1" pivotButton="0" quotePrefix="0" xfId="0">
      <alignment horizontal="left" wrapText="1"/>
      <protection locked="0" hidden="0"/>
    </xf>
    <xf numFmtId="1" fontId="1" fillId="3" borderId="0" applyAlignment="1" pivotButton="0" quotePrefix="0" xfId="0">
      <alignment horizontal="left" vertical="top"/>
    </xf>
    <xf numFmtId="0" fontId="12" fillId="6" borderId="0" applyAlignment="1" applyProtection="1" pivotButton="0" quotePrefix="0" xfId="0">
      <alignment horizontal="left"/>
      <protection locked="0" hidden="0"/>
    </xf>
    <xf numFmtId="1" fontId="8" fillId="4" borderId="0" applyAlignment="1" pivotButton="0" quotePrefix="0" xfId="0">
      <alignment horizontal="center" vertical="top" wrapText="1"/>
    </xf>
    <xf numFmtId="0" fontId="1" fillId="0" borderId="0" pivotButton="0" quotePrefix="0" xfId="77"/>
    <xf numFmtId="49" fontId="6" fillId="8" borderId="1" applyAlignment="1" applyProtection="1" pivotButton="0" quotePrefix="0" xfId="0">
      <alignment horizontal="left" vertical="center" wrapText="1"/>
      <protection locked="0" hidden="0"/>
    </xf>
    <xf numFmtId="0" fontId="7" fillId="0" borderId="0" pivotButton="0" quotePrefix="0" xfId="0"/>
    <xf numFmtId="0" fontId="2" fillId="0" borderId="0" applyAlignment="1" pivotButton="0" quotePrefix="0" xfId="173">
      <alignment horizontal="left"/>
    </xf>
    <xf numFmtId="49" fontId="9" fillId="8" borderId="1" applyAlignment="1" applyProtection="1" pivotButton="0" quotePrefix="0" xfId="0">
      <alignment horizontal="left" wrapText="1"/>
      <protection locked="0" hidden="0"/>
    </xf>
    <xf numFmtId="2" fontId="0" fillId="0" borderId="0" pivotButton="0" quotePrefix="0" xfId="0"/>
    <xf numFmtId="0" fontId="13" fillId="3" borderId="0" applyAlignment="1" pivotButton="0" quotePrefix="0" xfId="0">
      <alignment horizontal="left" vertical="top"/>
    </xf>
    <xf numFmtId="1" fontId="15" fillId="0" borderId="0" applyProtection="1" pivotButton="0" quotePrefix="0" xfId="99">
      <protection locked="0" hidden="0"/>
    </xf>
    <xf numFmtId="2" fontId="1" fillId="0" borderId="0" applyAlignment="1" applyProtection="1" pivotButton="0" quotePrefix="0" xfId="0">
      <alignment horizontal="left"/>
      <protection locked="0" hidden="0"/>
    </xf>
    <xf numFmtId="2" fontId="6" fillId="0" borderId="2" applyAlignment="1" applyProtection="1" pivotButton="0" quotePrefix="0" xfId="0">
      <alignment horizontal="left" wrapText="1"/>
      <protection locked="0" hidden="0"/>
    </xf>
    <xf numFmtId="0" fontId="17" fillId="0" borderId="0" pivotButton="0" quotePrefix="0" xfId="0"/>
    <xf numFmtId="0" fontId="0" fillId="7" borderId="0" applyAlignment="1" pivotButton="0" quotePrefix="0" xfId="0">
      <alignment horizontal="center" vertical="top" wrapText="1"/>
    </xf>
    <xf numFmtId="0" fontId="17" fillId="0" borderId="0" pivotButton="0" quotePrefix="0" xfId="28"/>
    <xf numFmtId="0" fontId="8" fillId="9" borderId="0" applyAlignment="1" pivotButton="0" quotePrefix="0" xfId="0">
      <alignment horizontal="center" vertical="top" wrapText="1"/>
    </xf>
    <xf numFmtId="0" fontId="17" fillId="0" borderId="3" applyAlignment="1" pivotButton="0" quotePrefix="0" xfId="181">
      <alignment horizontal="center"/>
    </xf>
    <xf numFmtId="0" fontId="17" fillId="10" borderId="3" pivotButton="0" quotePrefix="0" xfId="181"/>
    <xf numFmtId="0" fontId="19" fillId="0" borderId="0" applyAlignment="1" pivotButton="0" quotePrefix="0" xfId="188">
      <alignment vertical="center"/>
    </xf>
    <xf numFmtId="0" fontId="14" fillId="8" borderId="0" applyAlignment="1" applyProtection="1" pivotButton="0" quotePrefix="0" xfId="13">
      <alignment horizontal="left"/>
      <protection locked="0" hidden="0"/>
    </xf>
    <xf numFmtId="0" fontId="10" fillId="8" borderId="0" applyAlignment="1" pivotButton="0" quotePrefix="0" xfId="0">
      <alignment vertical="top" wrapText="1"/>
    </xf>
    <xf numFmtId="0" fontId="10" fillId="5" borderId="0" applyAlignment="1" pivotButton="0" quotePrefix="0" xfId="0">
      <alignment vertical="top" wrapText="1"/>
    </xf>
    <xf numFmtId="0" fontId="10" fillId="8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/>
    </xf>
    <xf numFmtId="0" fontId="7" fillId="3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0" fontId="17" fillId="8" borderId="3" pivotButton="0" quotePrefix="0" xfId="181"/>
    <xf numFmtId="0" fontId="9" fillId="3" borderId="0" applyAlignment="1" pivotButton="0" quotePrefix="0" xfId="0">
      <alignment vertical="top"/>
    </xf>
    <xf numFmtId="0" fontId="1" fillId="0" borderId="0" pivotButton="0" quotePrefix="0" xfId="128"/>
    <xf numFmtId="0" fontId="17" fillId="8" borderId="3" applyAlignment="1" pivotButton="0" quotePrefix="0" xfId="181">
      <alignment horizontal="center"/>
    </xf>
    <xf numFmtId="0" fontId="1" fillId="3" borderId="0" applyAlignment="1" pivotButton="0" quotePrefix="1" xfId="0">
      <alignment vertical="top"/>
    </xf>
    <xf numFmtId="0" fontId="0" fillId="8" borderId="0" applyAlignment="1" pivotButton="0" quotePrefix="0" xfId="0">
      <alignment horizontal="center" vertical="top"/>
    </xf>
    <xf numFmtId="0" fontId="10" fillId="5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/>
    </xf>
    <xf numFmtId="0" fontId="10" fillId="8" borderId="0" applyAlignment="1" pivotButton="0" quotePrefix="0" xfId="0">
      <alignment horizontal="left" vertical="top" wrapText="1"/>
    </xf>
    <xf numFmtId="0" fontId="17" fillId="8" borderId="3" pivotButton="0" quotePrefix="0" xfId="181"/>
    <xf numFmtId="0" fontId="17" fillId="8" borderId="3" applyAlignment="1" pivotButton="0" quotePrefix="0" xfId="181">
      <alignment horizontal="center"/>
    </xf>
    <xf numFmtId="0" fontId="0" fillId="8" borderId="0" applyAlignment="1" pivotButton="0" quotePrefix="0" xfId="0">
      <alignment horizontal="left" vertical="top"/>
    </xf>
    <xf numFmtId="0" fontId="10" fillId="8" borderId="0" applyAlignment="1" pivotButton="0" quotePrefix="0" xfId="0">
      <alignment vertical="top" wrapText="1"/>
    </xf>
    <xf numFmtId="0" fontId="19" fillId="8" borderId="0" applyAlignment="1" pivotButton="0" quotePrefix="0" xfId="188">
      <alignment vertical="center"/>
    </xf>
    <xf numFmtId="0" fontId="0" fillId="8" borderId="0" applyAlignment="1" pivotButton="0" quotePrefix="0" xfId="0">
      <alignment horizontal="left"/>
    </xf>
    <xf numFmtId="0" fontId="0" fillId="8" borderId="0" applyAlignment="1" pivotButton="0" quotePrefix="0" xfId="131">
      <alignment horizontal="center" vertical="top"/>
    </xf>
    <xf numFmtId="0" fontId="1" fillId="6" borderId="0" applyAlignment="1" pivotButton="0" quotePrefix="0" xfId="0">
      <alignment horizontal="left" vertical="top"/>
    </xf>
    <xf numFmtId="0" fontId="1" fillId="6" borderId="4" applyAlignment="1" pivotButton="0" quotePrefix="0" xfId="0">
      <alignment horizontal="left" vertical="top"/>
    </xf>
    <xf numFmtId="0" fontId="1" fillId="11" borderId="0" applyAlignment="1" pivotButton="0" quotePrefix="0" xfId="0">
      <alignment horizontal="left" vertical="top"/>
    </xf>
    <xf numFmtId="0" fontId="1" fillId="12" borderId="0" applyAlignment="1" pivotButton="0" quotePrefix="0" xfId="0">
      <alignment horizontal="left" vertical="top"/>
    </xf>
    <xf numFmtId="164" fontId="5" fillId="0" borderId="0" applyAlignment="1" applyProtection="1" pivotButton="0" quotePrefix="0" xfId="0">
      <alignment horizontal="left"/>
      <protection locked="0" hidden="0"/>
    </xf>
  </cellXfs>
  <cellStyles count="189">
    <cellStyle name="Normal" xfId="0" builtinId="0"/>
    <cellStyle name="20% - Accent1 2" xfId="1"/>
    <cellStyle name="Comma 2" xfId="2"/>
    <cellStyle name="Comma 2 2" xfId="3"/>
    <cellStyle name="Comma 2 2 2" xfId="4"/>
    <cellStyle name="Comma 2 3" xfId="5"/>
    <cellStyle name="Comma 2 3 2" xfId="6"/>
    <cellStyle name="Comma 2 4" xfId="7"/>
    <cellStyle name="Comma 2 4 2" xfId="8"/>
    <cellStyle name="Comma 2 5" xfId="9"/>
    <cellStyle name="Comma 2 5 2" xfId="10"/>
    <cellStyle name="Comma 2 6" xfId="11"/>
    <cellStyle name="Normal 10" xfId="12"/>
    <cellStyle name="Normal 10 2" xfId="13"/>
    <cellStyle name="Normal 10 3" xfId="14"/>
    <cellStyle name="Normal 11" xfId="15"/>
    <cellStyle name="Normal 12" xfId="16"/>
    <cellStyle name="Normal 13" xfId="17"/>
    <cellStyle name="Normal 14" xfId="18"/>
    <cellStyle name="Normal 15" xfId="19"/>
    <cellStyle name="Normal 16" xfId="20"/>
    <cellStyle name="Normal 17" xfId="21"/>
    <cellStyle name="Normal 18" xfId="22"/>
    <cellStyle name="Normal 19" xfId="23"/>
    <cellStyle name="Normal 19 2" xfId="24"/>
    <cellStyle name="Normal 2" xfId="25"/>
    <cellStyle name="Normal 2 2" xfId="26"/>
    <cellStyle name="Normal 2 3" xfId="27"/>
    <cellStyle name="Normal 20" xfId="28"/>
    <cellStyle name="Normal 20 2" xfId="29"/>
    <cellStyle name="Normal 20 2 2" xfId="30"/>
    <cellStyle name="Normal 20 3" xfId="31"/>
    <cellStyle name="Normal 20 3 2" xfId="32"/>
    <cellStyle name="Normal 20 4" xfId="33"/>
    <cellStyle name="Normal 20 4 2" xfId="34"/>
    <cellStyle name="Normal 20 5" xfId="35"/>
    <cellStyle name="Normal 20 5 2" xfId="36"/>
    <cellStyle name="Normal 20 6" xfId="37"/>
    <cellStyle name="Normal 21" xfId="38"/>
    <cellStyle name="Normal 21 2" xfId="39"/>
    <cellStyle name="Normal 21 2 2" xfId="40"/>
    <cellStyle name="Normal 21 3" xfId="41"/>
    <cellStyle name="Normal 21 3 2" xfId="42"/>
    <cellStyle name="Normal 21 4" xfId="43"/>
    <cellStyle name="Normal 21 4 2" xfId="44"/>
    <cellStyle name="Normal 21 5" xfId="45"/>
    <cellStyle name="Normal 21 5 2" xfId="46"/>
    <cellStyle name="Normal 21 6" xfId="47"/>
    <cellStyle name="Normal 22" xfId="48"/>
    <cellStyle name="Normal 22 2" xfId="49"/>
    <cellStyle name="Normal 22 2 2" xfId="50"/>
    <cellStyle name="Normal 22 3" xfId="51"/>
    <cellStyle name="Normal 22 3 2" xfId="52"/>
    <cellStyle name="Normal 22 4" xfId="53"/>
    <cellStyle name="Normal 22 4 2" xfId="54"/>
    <cellStyle name="Normal 22 5" xfId="55"/>
    <cellStyle name="Normal 22 5 2" xfId="56"/>
    <cellStyle name="Normal 22 6" xfId="57"/>
    <cellStyle name="Normal 23" xfId="58"/>
    <cellStyle name="Normal 23 2" xfId="59"/>
    <cellStyle name="Normal 23 2 2" xfId="60"/>
    <cellStyle name="Normal 23 3" xfId="61"/>
    <cellStyle name="Normal 23 3 2" xfId="62"/>
    <cellStyle name="Normal 23 4" xfId="63"/>
    <cellStyle name="Normal 23 4 2" xfId="64"/>
    <cellStyle name="Normal 23 5" xfId="65"/>
    <cellStyle name="Normal 23 5 2" xfId="66"/>
    <cellStyle name="Normal 23 6" xfId="67"/>
    <cellStyle name="Normal 24" xfId="68"/>
    <cellStyle name="Normal 25" xfId="69"/>
    <cellStyle name="Normal 26" xfId="70"/>
    <cellStyle name="Normal 27" xfId="71"/>
    <cellStyle name="Normal 28" xfId="72"/>
    <cellStyle name="Normal 28 10" xfId="73"/>
    <cellStyle name="Normal 28 10 2" xfId="74"/>
    <cellStyle name="Normal 28 11" xfId="75"/>
    <cellStyle name="Normal 28 11 2" xfId="76"/>
    <cellStyle name="Normal 28 12" xfId="77"/>
    <cellStyle name="Normal 28 2" xfId="78"/>
    <cellStyle name="Normal 28 2 2" xfId="79"/>
    <cellStyle name="Normal 28 3" xfId="80"/>
    <cellStyle name="Normal 28 3 2" xfId="81"/>
    <cellStyle name="Normal 28 4" xfId="82"/>
    <cellStyle name="Normal 28 4 2" xfId="83"/>
    <cellStyle name="Normal 28 5" xfId="84"/>
    <cellStyle name="Normal 28 5 2" xfId="85"/>
    <cellStyle name="Normal 28 6" xfId="86"/>
    <cellStyle name="Normal 28 6 2" xfId="87"/>
    <cellStyle name="Normal 28 7" xfId="88"/>
    <cellStyle name="Normal 28 7 2" xfId="89"/>
    <cellStyle name="Normal 28 8" xfId="90"/>
    <cellStyle name="Normal 28 8 2" xfId="91"/>
    <cellStyle name="Normal 28 9" xfId="92"/>
    <cellStyle name="Normal 28 9 2" xfId="93"/>
    <cellStyle name="Normal 29" xfId="94"/>
    <cellStyle name="Normal 3" xfId="95"/>
    <cellStyle name="Normal 3 2" xfId="96"/>
    <cellStyle name="Normal 3 3" xfId="97"/>
    <cellStyle name="Normal 30" xfId="98"/>
    <cellStyle name="Normal 31" xfId="99"/>
    <cellStyle name="Normal 31 2" xfId="100"/>
    <cellStyle name="Normal 32" xfId="101"/>
    <cellStyle name="Normal 33" xfId="102"/>
    <cellStyle name="Normal 34" xfId="103"/>
    <cellStyle name="Normal 35" xfId="104"/>
    <cellStyle name="Normal 36" xfId="105"/>
    <cellStyle name="Normal 37" xfId="106"/>
    <cellStyle name="Normal 38" xfId="107"/>
    <cellStyle name="Normal 39" xfId="108"/>
    <cellStyle name="Normal 4" xfId="109"/>
    <cellStyle name="Normal 40" xfId="110"/>
    <cellStyle name="Normal 41" xfId="111"/>
    <cellStyle name="Normal 42" xfId="112"/>
    <cellStyle name="Normal 43" xfId="113"/>
    <cellStyle name="Normal 44" xfId="114"/>
    <cellStyle name="Normal 45" xfId="115"/>
    <cellStyle name="Normal 45 2" xfId="116"/>
    <cellStyle name="Normal 46" xfId="117"/>
    <cellStyle name="Normal 46 2" xfId="118"/>
    <cellStyle name="Normal 47" xfId="119"/>
    <cellStyle name="Normal 47 2" xfId="120"/>
    <cellStyle name="Normal 48" xfId="121"/>
    <cellStyle name="Normal 48 2" xfId="122"/>
    <cellStyle name="Normal 49" xfId="123"/>
    <cellStyle name="Normal 49 2" xfId="124"/>
    <cellStyle name="Normal 5" xfId="125"/>
    <cellStyle name="Normal 50" xfId="126"/>
    <cellStyle name="Normal 50 2" xfId="127"/>
    <cellStyle name="Normal 51" xfId="128"/>
    <cellStyle name="Normal 51 2" xfId="129"/>
    <cellStyle name="Normal 52" xfId="130"/>
    <cellStyle name="Normal 53" xfId="131"/>
    <cellStyle name="Normal 54" xfId="132"/>
    <cellStyle name="Normal 55" xfId="133"/>
    <cellStyle name="Normal 6" xfId="134"/>
    <cellStyle name="Normal 6 2" xfId="135"/>
    <cellStyle name="Normal 6 2 2" xfId="136"/>
    <cellStyle name="Normal 6 2 2 2" xfId="137"/>
    <cellStyle name="Normal 6 2 3" xfId="138"/>
    <cellStyle name="Normal 6 2 3 2" xfId="139"/>
    <cellStyle name="Normal 6 2 4" xfId="140"/>
    <cellStyle name="Normal 6 2 4 2" xfId="141"/>
    <cellStyle name="Normal 6 2 5" xfId="142"/>
    <cellStyle name="Normal 6 2 5 2" xfId="143"/>
    <cellStyle name="Normal 6 2 6" xfId="144"/>
    <cellStyle name="Normal 6 3" xfId="145"/>
    <cellStyle name="Normal 6 3 2" xfId="146"/>
    <cellStyle name="Normal 6 4" xfId="147"/>
    <cellStyle name="Normal 6 4 2" xfId="148"/>
    <cellStyle name="Normal 6 5" xfId="149"/>
    <cellStyle name="Normal 6 5 2" xfId="150"/>
    <cellStyle name="Normal 6 6" xfId="151"/>
    <cellStyle name="Normal 6 6 2" xfId="152"/>
    <cellStyle name="Normal 6 7" xfId="153"/>
    <cellStyle name="Normal 6 7 2" xfId="154"/>
    <cellStyle name="Normal 6 8" xfId="155"/>
    <cellStyle name="Normal 7" xfId="156"/>
    <cellStyle name="Normal 8" xfId="157"/>
    <cellStyle name="Normal 8 2" xfId="158"/>
    <cellStyle name="Normal 8 2 2" xfId="159"/>
    <cellStyle name="Normal 8 3" xfId="160"/>
    <cellStyle name="Normal 8 3 2" xfId="161"/>
    <cellStyle name="Normal 8 4" xfId="162"/>
    <cellStyle name="Normal 8 4 2" xfId="163"/>
    <cellStyle name="Normal 8 5" xfId="164"/>
    <cellStyle name="Normal 8 5 2" xfId="165"/>
    <cellStyle name="Normal 8 6" xfId="166"/>
    <cellStyle name="Normal 9" xfId="167"/>
    <cellStyle name="Standard 2" xfId="168"/>
    <cellStyle name="Standard 2 2" xfId="169"/>
    <cellStyle name="Standard 4" xfId="170"/>
    <cellStyle name="標準 2" xfId="171"/>
    <cellStyle name="標準 2 2" xfId="172"/>
    <cellStyle name="標準_HL5240" xfId="173"/>
    <cellStyle name="Normal 4 2" xfId="174"/>
    <cellStyle name="Normal 5 2" xfId="175"/>
    <cellStyle name="Normal 6 9" xfId="176"/>
    <cellStyle name="Normal 7 2" xfId="177"/>
    <cellStyle name="Normal 2 4" xfId="178"/>
    <cellStyle name="Normal 56" xfId="179"/>
    <cellStyle name="Normal 57" xfId="180"/>
    <cellStyle name="Normal 2 5" xfId="181"/>
    <cellStyle name="Normal 2 2 2" xfId="182"/>
    <cellStyle name="Normal 58" xfId="183"/>
    <cellStyle name="Normal 59" xfId="184"/>
    <cellStyle name="Normal 60" xfId="185"/>
    <cellStyle name="Normal 61" xfId="186"/>
    <cellStyle name="Normal 2 2 3" xfId="187"/>
    <cellStyle name="Normal 62" xfId="18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tc={49E03C10-2123-4F10-9E4A-E6A02CFD35F2}</author>
    <author>tc={4A96BA23-5498-44DC-A6FC-20D80EA6C984}</author>
    <author>tc={175AEA4F-46DB-48A4-9CB9-49CCA3F03992}</author>
    <author>tc={41BE0B58-FB56-4197-B078-4ACA9E58B1D7}</author>
    <author>tc={A74418FC-AEDE-4613-8124-D5624E95E9AE}</author>
    <author>tc={20222612-DF57-4D07-B487-4F2CD3567A51}</author>
    <author>tc={5357E326-F20B-4FF6-A4E4-06F928F8B772}</author>
    <author>tc={031E1803-42A6-481A-B474-6EAA0156AF46}</author>
    <author>tc={BEBE142A-D949-458C-B86C-5CEF77AF0ED7}</author>
    <author>tc={7B501900-6FBC-48BF-8D00-B737D91E0E4E}</author>
    <author>tc={ACD6E86F-7A93-4204-B683-8D9403B85DBB}</author>
    <author>tc={7FE10B42-C860-4CB7-BCC8-28CF82B8B114}</author>
    <author>tc={5E030771-DEA1-4662-B5B3-E39386EA08A6}</author>
    <author>tc={383A4305-ACC5-43F2-B4B0-FE192BB70765}</author>
    <author>tc={8AC0866F-E9F1-401D-B074-02ED4D25F970}</author>
    <author>tc={F86291F2-4788-4052-A173-0868C5409989}</author>
    <author>tc={B5167F3A-4FA0-4FEC-BC69-23DF74846323}</author>
    <author>tc={686D0DA3-466E-4DD1-B3F5-DA27CE5E0C3F}</author>
    <author>tc={CEEBDC40-9ADE-4B53-8A05-7599E3DE9025}</author>
    <author>tc={52274BE2-ABFD-48F3-B43B-9F66C754E802}</author>
    <author>tc={CEE8DCC8-55B6-4E9C-81D8-4C8C52D780AF}</author>
    <author>tc={0211A75F-F1D2-4B63-A869-8D95C37C83BC}</author>
    <author>tc={13B28418-7801-4D46-AB93-39E3D2BC27F4}</author>
    <author>tc={1464B802-0911-4073-AB5D-74D4BCCDBCE4}</author>
    <author>tc={65AFBC59-0816-42AD-890B-E3B3EC99252F}</author>
    <author>tc={277AC4F2-6A60-4D82-BFFA-8CBDF199F623}</author>
    <author>tc={4019953A-E31A-4EDD-9BA5-71C96BB90B4F}</author>
    <author>tc={B3427ED7-5D19-4946-AE0B-404E689248A2}</author>
    <author>tc={222BD585-7F1E-44F9-9AB8-5CA4B6648B33}</author>
    <author>tc={21E9748A-62C0-4110-ADB1-3A393DA837AB}</author>
    <author>tc={2BACFA7D-0271-4812-95A6-90C0837C0694}</author>
    <author>tc={034BA733-C6CB-417E-AD95-25EEB7D8EBD2}</author>
    <author>tc={6CE97804-5290-41D8-9D6F-5E6364333298}</author>
    <author>tc={99B1AAE6-2D2A-4A79-A420-27458A7FCB09}</author>
    <author>tc={A4CD6DB1-2153-4F64-9A9C-D1B500DA2B99}</author>
    <author>tc={50F53558-6B47-4D4E-B98C-8CA45F0BC4EF}</author>
    <author>tc={5E3488D6-4B2A-4E9D-A07B-447D867257C4}</author>
    <author>tc={0015FC16-AB33-490E-86D4-3BEEEE648D50}</author>
    <author>tc={DABF43A4-DD0C-46CA-A573-6A8ED0B5C0EA}</author>
    <author>tc={8EC83CCE-B2FA-49CF-8BDD-DC7E8AB8773A}</author>
    <author>tc={5D667D24-F942-48B9-BD7B-1115821DE1CE}</author>
    <author>tc={AE76CC57-88C6-4D97-AFBF-76EFB70C5951}</author>
    <author>tc={F87599E0-59F4-4BB0-9A23-7DA4EAE46C0A}</author>
    <author>tc={3A6760D0-D385-468E-B182-00C9E7ABDAC3}</author>
    <author>tc={7A03F61F-7535-4432-BA90-4C27CD6D00C1}</author>
    <author>tc={1625BE49-E417-4CF1-899F-AC10C325AECA}</author>
    <author>tc={4150FF1C-57F3-4F23-8511-403EB2E9B9B3}</author>
    <author>tc={6F1119D9-EA26-4F01-803B-8AB31D0D6754}</author>
    <author>tc={666D9A5E-6980-4E30-9960-1046E43201CE}</author>
    <author>tc={1A2C6025-2568-49EE-AD7B-FD668790E381}</author>
    <author>tc={C88A7541-6FB2-44F5-BDF7-D1A148CC741F}</author>
    <author>tc={6FE82991-2D55-4492-9EDB-8F32EBB2B0E0}</author>
    <author>tc={E11966F6-852B-4755-B4E8-1AC06250928B}</author>
    <author>tc={B310BD3A-5943-46A7-A2B5-B8F476AAC858}</author>
    <author>tc={CCB165A6-3536-4DBC-8D09-0A9FC8453632}</author>
    <author>tc={21009330-D317-41DA-A3DF-59DF8FB7D232}</author>
    <author>tc={2D4FE829-9A00-4796-8836-D3ECC5F9BD1D}</author>
    <author>tc={4CBC445C-CEA8-48F0-8238-BB2B7A99ECB3}</author>
    <author>tc={203C57B1-9E58-4696-B823-A7A2F15EB71F}</author>
    <author>tc={2AA07F7B-B8FE-4D6A-A69D-3D43CF2FD45A}</author>
    <author>tc={66731515-4734-4A46-B263-FDF5F3E48E43}</author>
    <author>tc={ABC6377F-6F9B-425C-A2ED-08ED660B64F6}</author>
    <author>tc={FABEF6FB-154A-4271-8311-62A85B9061BB}</author>
    <author>tc={31C46DAC-408D-4BEE-8CE5-8802C33DFD62}</author>
    <author>tc={831D4EB8-76C5-4192-AEF6-54CA0AA5DC83}</author>
    <author>tc={475D6C89-1C59-4D29-A880-8A6071433F3B}</author>
    <author>tc={56B196A7-6FC9-459A-B325-371F78458AA7}</author>
    <author>tc={C2879EBD-E501-412F-84BD-ED92BC92D6AE}</author>
    <author>tc={83AD17E2-7336-4E44-B282-557284612066}</author>
    <author>tc={C3AEDD1F-2D08-471B-A653-D016BB1A85F3}</author>
    <author>tc={DFFB805F-279A-4B05-95A0-DB3D94AAC60D}</author>
    <author>tc={55AB29C7-CA4A-42A3-9BFC-9DA7E0D2AC8F}</author>
    <author>tc={CF6A7774-049E-40CD-B3A8-D173565D8C81}</author>
    <author>tc={66577239-27EB-48BC-AE5B-EEF60EA9F2C2}</author>
    <author>tc={15998B09-A34D-44FB-8D43-8D720EDC5033}</author>
    <author>tc={A3ED1E33-D12D-4518-A0E0-FE9556AB0F7F}</author>
    <author>tc={645F018A-4598-4E25-821C-1402894EF9F6}</author>
    <author>tc={F9FECBA5-A7F0-47DE-8303-9C0E8A306379}</author>
    <author>tc={B4B9D8B2-B899-4D14-8090-02A7A083AF73}</author>
    <author>tc={BAEAE182-FC75-4666-86A2-449553DC1F7E}</author>
    <author>tc={F55F0986-6164-464A-A22B-D803173ED8D6}</author>
    <author>tc={02539B8A-0D86-4475-BD15-41B881D25ADC}</author>
    <author>tc={7A278B01-4965-4CF8-86DB-96FA7C3EAEC8}</author>
    <author>tc={BE81F21F-BB96-4756-9C05-6611868A42AA}</author>
    <author>tc={18F03F39-F5B1-4188-A9D6-969F4E4002A2}</author>
    <author>tc={19B30B75-569B-4D7F-920B-CB04985383BF}</author>
    <author>tc={C9231A33-5386-45E4-AFEE-DF54BB977837}</author>
    <author>tc={C59FDB82-E11E-492A-A696-98E5EF10F1A5}</author>
    <author>tc={6550CF5A-EA45-4641-A685-A6492F280BB5}</author>
    <author>tc={AE97B37E-5D77-4AF9-9E89-71D5AFC9EB7D}</author>
    <author>tc={3FF96FB4-1589-403B-A72F-FB0751B2CEF9}</author>
    <author>tc={C72322BF-A998-4E41-9120-4DCE2A8ADDE5}</author>
    <author>tc={3E2B5FFE-7E3D-4D1C-BBDA-7F6FCF4189A4}</author>
    <author>tc={DE8C24E4-EFA1-45BB-9F74-28364BEC6AC0}</author>
    <author>tc={A2B73CB7-E60C-4DAD-BC5F-E2675A1042E2}</author>
    <author>tc={2659BD17-EA66-4136-81EB-5AB5EB30165C}</author>
    <author>tc={ACE8C082-B4A0-4788-B26C-C427A4DDA113}</author>
    <author>tc={AFB6B520-AE4B-4D21-A7D8-388762295345}</author>
    <author>tc={AC9BEF85-9BD6-483A-9359-981AC743CC97}</author>
    <author>tc={E9067337-481A-4DF9-A0C8-0DCFAD3E7831}</author>
  </authors>
  <commentList>
    <comment ref="H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0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1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2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3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5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6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7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8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9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0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1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2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3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4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5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6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7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8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9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0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1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2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3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4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5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6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7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8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9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0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1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2" authorId="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3" authorId="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4" authorId="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5" authorId="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6" authorId="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7" authorId="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8" authorId="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9" authorId="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0" authorId="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1" authorId="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2" authorId="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3" authorId="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4" authorId="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5" authorId="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6" authorId="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7" authorId="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8" authorId="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9" authorId="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0" authorId="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1" authorId="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2" authorId="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3" authorId="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4" authorId="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5" authorId="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6" authorId="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7" authorId="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8" authorId="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9" authorId="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0" authorId="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1" authorId="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2" authorId="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3" authorId="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4" authorId="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5" authorId="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6" authorId="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7" authorId="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8" authorId="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9" authorId="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0" authorId="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1" authorId="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2" authorId="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3" authorId="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4" authorId="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5" authorId="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6" authorId="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7" authorId="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8" authorId="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9" authorId="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0" authorId="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1" authorId="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2" authorId="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3" authorId="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4" authorId="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5" authorId="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6" authorId="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7" authorId="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8" authorId="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9" authorId="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00" authorId="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01" authorId="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</commentList>
</comments>
</file>

<file path=xl/comments/comment2.xml><?xml version="1.0" encoding="utf-8"?>
<comments xmlns="http://schemas.openxmlformats.org/spreadsheetml/2006/main">
  <authors>
    <author>tc={9172FD0D-D58C-4F8F-AD08-284A6994E62E}</author>
    <author>tc={8672EE3E-E3B7-403A-8F16-4E9B3D611E07}</author>
    <author>tc={65D2398B-8CDF-4B52-8A22-CF331E3DA36D}</author>
    <author>tc={E96BCD3E-EF73-4E8D-B95A-ADF1889A7BAB}</author>
    <author>tc={0E0F62DF-6317-458C-8262-5FA5F90AACBA}</author>
    <author>tc={BAE5A3FE-4C0A-424C-BB44-44545F720DDC}</author>
    <author>tc={AA0FF4F6-87C4-4A9F-A1CF-31E10E8282B7}</author>
    <author>tc={C3E17EFA-0DF4-42B0-AC9E-1EE932DCE1C9}</author>
    <author>tc={C235F2A5-C3AD-44B0-971B-0D2E460799C5}</author>
    <author>tc={36CB8D6E-1232-4B04-9A3C-4F04DB238673}</author>
    <author>tc={473EB380-76A7-4CCD-8B76-092398959C17}</author>
    <author>tc={7D90D7F9-39C5-4C26-902F-0F4E7586DC08}</author>
    <author>tc={974B5011-8C00-4BB5-B2D4-AC153AFF71CA}</author>
    <author>tc={8AC0EAA5-A593-4E60-BC18-19BD38FC39F4}</author>
    <author>tc={C0EA0C7C-9FDF-42DF-9BEE-5C251598CDD6}</author>
    <author>tc={A90017E0-C661-4E47-B867-239E8F1257F7}</author>
    <author>tc={69B3F49E-DAA4-4449-8375-822BC40F4AA1}</author>
    <author>tc={74BCBF08-8162-4360-87ED-C7A7611BB109}</author>
    <author>tc={A815452F-7DC0-4CD4-AF96-4A805EC254CF}</author>
    <author>tc={37B06E8A-9B05-4862-872C-8CB3620D34D0}</author>
    <author>tc={F652BD69-B1CE-466F-8D5A-3848080A02A4}</author>
    <author>tc={91799CE0-7E3A-4C1D-9ED3-A0D9F423A817}</author>
    <author>tc={1AEDF224-F2E3-4424-AC74-0E753B34AC0F}</author>
    <author>tc={2096D144-D722-4486-93CA-39A2852A78C0}</author>
    <author>tc={E28D6EB7-C2CC-4061-96AD-1C65DE90A56B}</author>
    <author>tc={993642BD-96E8-4BF5-8855-CB664CFF535A}</author>
    <author>tc={8A173A2B-F890-4626-AC2A-99C369D4A77D}</author>
    <author>tc={F1AEB80F-D47B-4694-8542-A141040ED798}</author>
    <author>tc={185D523B-3603-465B-8559-EF8F88E48947}</author>
    <author>tc={3E29E565-F5C0-47ED-BD30-57038F03275B}</author>
    <author>tc={1C952A9D-B00E-4B25-BC03-488DD6C88961}</author>
    <author>tc={F3C0F581-82CF-4022-B6B9-86A4F4FD9A9F}</author>
    <author>tc={E08C563C-169C-4727-B87D-105A42A4B9A6}</author>
    <author>tc={F5086485-9907-4BE8-BAD0-B5EC6C5D1C04}</author>
    <author>tc={350DE8A3-4002-4F1D-BA39-DB90AD262BBC}</author>
    <author>tc={6CC035EB-C09F-45AF-8A50-E64153CD392C}</author>
    <author>tc={26036406-014E-46F7-91C1-78501B9205EB}</author>
    <author>tc={558DEDEB-7BF8-4B44-AA56-E6AB53CCAFEA}</author>
    <author>tc={ABA16AE2-C83F-4DD9-B29C-120B299E9AF8}</author>
    <author>tc={54561E56-77C3-44E4-9938-A1981F83DF57}</author>
    <author>tc={8D630F1B-11E8-432F-A40F-0BEB6C620443}</author>
    <author>tc={1EB1CD27-F36B-42E5-858D-5903DA181BC7}</author>
    <author>tc={1270C08A-5CF0-462A-B400-FEF53F84753A}</author>
    <author>tc={5BD74BA6-41B9-4A19-850D-51FB7098110A}</author>
    <author>tc={A83199F7-2F59-4ACE-9F83-3660715B8DBE}</author>
    <author>tc={B7EB53D7-401E-43D1-89B6-B017E91BD02B}</author>
    <author>tc={16383752-ED42-41F7-ABA7-047DC7397DCE}</author>
    <author>tc={60810E9A-6739-464C-B0AA-C4325401FAAC}</author>
    <author>tc={1AA6FCCC-6C02-46BB-A871-55363B13C493}</author>
    <author>tc={AEF23A09-28EA-4419-9F9F-3B6E50EAC023}</author>
    <author>tc={3EA892A6-04ED-468D-8A9D-07A3313101C3}</author>
    <author>tc={418A760B-53E6-4012-A69E-9734439BBF1C}</author>
    <author>tc={6A8D66AB-0E59-4529-AFF2-23466466FBC8}</author>
    <author>tc={B939ADC5-76D6-42D0-8F7A-A629F5023411}</author>
    <author>tc={07F487C3-A1DF-4BF0-8FB0-0A5C60AC00ED}</author>
    <author>tc={09F6B7E7-BBAA-44CA-9776-0C867AC9000B}</author>
    <author>tc={E9D36F27-CD2F-4E67-9ECA-0BD5FC8E209F}</author>
    <author>tc={71AD414D-78D8-432E-966F-EB2B9EB7EC8D}</author>
    <author>tc={F67057B2-8713-488B-8F50-AE8996278EBD}</author>
    <author>tc={DA9383E6-BE02-4665-B831-E0A54758962A}</author>
    <author>tc={31B1771A-F69E-479F-844F-4B2D1985A63A}</author>
    <author>tc={9061BAC1-67F5-439B-BBFC-16B7A2F0ADF6}</author>
    <author>tc={92E07750-E501-4ADB-885D-E4E824C9EFC3}</author>
    <author>tc={943C784A-0753-46E9-A312-87F083A050DE}</author>
    <author>tc={EF1901C0-3627-4DD2-8E09-6FCA830F3BBC}</author>
    <author>tc={5C4A5095-1CA8-430D-B5C6-9821CFE25B7F}</author>
    <author>tc={0AA3528D-2810-4EA1-8FEF-BADAA97F53AF}</author>
    <author>tc={ABCA97FB-C5E7-4A8F-9BA6-14750AF629EC}</author>
    <author>tc={128303B6-CD19-4EB5-9CA0-47DD2C3E2565}</author>
    <author>tc={D0E776AB-2524-4E14-9405-5241977C5853}</author>
    <author>tc={DA1E69A3-2D13-4377-8738-2B7329AD83B0}</author>
    <author>tc={E2E451B6-8FF8-422C-BD01-AEC2A0FCD313}</author>
    <author>tc={7380FDB2-40E4-4EEF-8714-BCD7D88AB3B8}</author>
    <author>tc={79F8F9BA-E150-45F9-8787-B53EDFC3232A}</author>
    <author>tc={B715A2B1-7BC0-4DCC-BB8A-536CF547CF73}</author>
    <author>tc={5EFBA5A9-A39E-4823-843B-8F8AB72F1953}</author>
    <author>tc={D5AA48C4-4C1F-4F4D-B974-AA2ED2AC2302}</author>
    <author>tc={9E919115-350A-4511-8EB8-41735C04BD3F}</author>
    <author>tc={086D0697-B807-4E36-9D54-A9F9ED26CA22}</author>
    <author>tc={EF5FCC80-E2A7-4D73-A0AF-6755D33DC5ED}</author>
    <author>tc={2D386416-0FFC-40F1-8668-F63F88ADA52F}</author>
    <author>tc={3471D166-2F3A-4BC3-BF34-26F96B32665C}</author>
    <author>tc={92F06DF3-162D-4A40-9C7A-8792796944DA}</author>
    <author>tc={F04552D0-04E9-4A35-A37A-4B266ED2D7A2}</author>
    <author>tc={428D460F-961A-4D33-B4B7-B72DBE766F3C}</author>
    <author>tc={E564F339-A41D-4311-A150-BC6A79B8B867}</author>
    <author>tc={0E1B83B8-93F4-4B7E-9D59-598CCA600631}</author>
    <author>tc={D7F7534E-DA1C-44A5-B96A-1343245D493C}</author>
    <author>tc={2105C4FF-263A-4AE7-9F13-139D73AB28A2}</author>
    <author>tc={A6F3855A-D9F9-4AE9-9B3E-AEB3F1CAC64E}</author>
    <author>tc={EE467EFF-2A24-4E19-8DEB-057943408080}</author>
    <author>tc={27E1F8A3-2303-464E-9E0C-CB87DD85D16D}</author>
    <author>tc={CA30A8F8-2DC1-4447-B46F-748DAB417025}</author>
    <author>tc={3C2B7CAC-CD0A-40F8-9866-6ACEDDFD154E}</author>
    <author>tc={DC5935A9-757D-4A12-B4AE-F4A64807CB1C}</author>
    <author>tc={87A487C3-924D-4BA0-AB92-D056C8BC318B}</author>
    <author>tc={AC147F6D-8C59-4E14-B657-C2D30F2E0FD8}</author>
    <author>tc={33AE4355-DFEF-4632-A635-AB9F94F6C0A6}</author>
    <author>tc={492A2E29-8B13-436F-BA16-1A15E3021A21}</author>
    <author>tc={2AB52F73-B384-4152-80B8-409C3E761BDB}</author>
  </authors>
  <commentList>
    <comment ref="G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0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1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2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3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5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6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7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8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9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0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1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2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3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4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5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6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7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8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9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0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1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2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3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4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5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6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7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8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9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0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1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2" authorId="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3" authorId="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4" authorId="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5" authorId="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6" authorId="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7" authorId="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8" authorId="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9" authorId="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0" authorId="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1" authorId="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2" authorId="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3" authorId="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4" authorId="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5" authorId="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6" authorId="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7" authorId="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8" authorId="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9" authorId="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0" authorId="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1" authorId="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2" authorId="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3" authorId="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4" authorId="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5" authorId="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6" authorId="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7" authorId="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8" authorId="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9" authorId="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0" authorId="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1" authorId="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2" authorId="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3" authorId="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4" authorId="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5" authorId="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6" authorId="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7" authorId="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8" authorId="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9" authorId="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0" authorId="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1" authorId="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2" authorId="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3" authorId="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4" authorId="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5" authorId="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6" authorId="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7" authorId="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8" authorId="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9" authorId="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0" authorId="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1" authorId="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2" authorId="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3" authorId="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4" authorId="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5" authorId="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6" authorId="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7" authorId="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8" authorId="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9" authorId="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00" authorId="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01" authorId="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</commentList>
</comments>
</file>

<file path=xl/comments/comment3.xml><?xml version="1.0" encoding="utf-8"?>
<comments xmlns="http://schemas.openxmlformats.org/spreadsheetml/2006/main">
  <authors>
    <author>tc={88FDB24F-F93A-4C81-9CE6-9DC5135FA084}</author>
    <author>tc={1657A8BA-4ABE-4A60-9091-9DF8C90C19A7}</author>
    <author>tc={4F36664A-69C0-4FFC-840F-18313105622F}</author>
    <author>tc={7A6C6AFD-FDA4-47C2-AB34-71B5263F1D39}</author>
  </authors>
  <commentList>
    <comment ref="R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R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R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R5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showFormulas="1" zoomScale="80" zoomScaleNormal="80" workbookViewId="0">
      <selection activeCell="C56" sqref="C56:C57"/>
    </sheetView>
  </sheetViews>
  <sheetFormatPr baseColWidth="8" defaultColWidth="8.84375" defaultRowHeight="12.9"/>
  <cols>
    <col width="45.69140625" customWidth="1" style="7" min="1" max="1"/>
    <col width="20.84375" customWidth="1" style="7" min="2" max="2"/>
    <col width="34.84375" customWidth="1" style="7" min="3" max="3"/>
    <col width="9.15234375" customWidth="1" style="7" min="4" max="4"/>
    <col width="7.15234375" customWidth="1" style="7" min="5" max="5"/>
    <col width="13" customWidth="1" style="7" min="6" max="6"/>
    <col width="20.53515625" customWidth="1" style="24" min="7" max="7"/>
    <col width="19.84375" customWidth="1" style="7" min="8" max="8"/>
    <col width="18.15234375" bestFit="1" customWidth="1" style="7" min="9" max="9"/>
    <col width="13.3828125" customWidth="1" style="7" min="10" max="10"/>
    <col width="12.84375" bestFit="1" customWidth="1" style="7" min="11" max="11"/>
    <col width="18.3828125" bestFit="1" customWidth="1" style="7" min="12" max="12"/>
    <col width="8.84375" customWidth="1" style="7" min="13" max="16384"/>
  </cols>
  <sheetData>
    <row r="1" ht="96.45" customHeight="1" s="1">
      <c r="A1" s="44" t="inlineStr">
        <is>
          <t xml:space="preserve">Log Automate Studio 24.1
SAP System: Client: SAP User - Q01:400:MMASTER
Script Name   -   ZMPS1 Create_S4H.Txr
Mode - Standard (Non Batch without controls)
Start Row   -   2 End Row   -   4
Number of Errors   -   0 Records Uploaded   -   3
Date and Time   -   10/07/2026 14:56:21
Execution Time   -   0:00:38
Run Reason   -    </t>
        </is>
      </c>
      <c r="B1" s="4" t="inlineStr">
        <is>
          <t>Material Number
RMMG1-MATNR</t>
        </is>
      </c>
      <c r="C1" s="4" t="inlineStr">
        <is>
          <t>Material Description (Short Text)
MAKT-MAKTX</t>
        </is>
      </c>
      <c r="D1" s="4" t="inlineStr">
        <is>
          <t>Base Unit of Measure
MARA-MEINS</t>
        </is>
      </c>
      <c r="E1" s="4" t="inlineStr">
        <is>
          <t>Division
MARA-SPART</t>
        </is>
      </c>
      <c r="F1" s="4" t="inlineStr">
        <is>
          <t>Material Group
MARA-MATKL</t>
        </is>
      </c>
      <c r="G1" s="30" t="inlineStr">
        <is>
          <t>Product hierarchy
MARA-PRDHA</t>
        </is>
      </c>
      <c r="H1" s="4" t="inlineStr">
        <is>
          <t>Industry Standard Description (such as ANSI or ISO)
MARA-NORMT</t>
        </is>
      </c>
      <c r="I1" s="4" t="inlineStr">
        <is>
          <t>Manufacturer Part Number
MARA-MFRPN</t>
        </is>
      </c>
      <c r="J1" s="4" t="inlineStr">
        <is>
          <t>Number of a Manufacturer
MARA-MFRNR</t>
        </is>
      </c>
      <c r="K1" s="4" t="inlineStr">
        <is>
          <t>Segment Data
MARA-FERTH</t>
        </is>
      </c>
    </row>
    <row r="2" ht="14.6" customHeight="1" s="1">
      <c r="A2" s="8" t="n"/>
      <c r="B2" s="5">
        <f>'BIE Creation Sheet'!L2</f>
        <v/>
      </c>
      <c r="C2" s="5">
        <f>'BIE Creation Sheet'!M2</f>
        <v/>
      </c>
      <c r="D2" s="5">
        <f>'BIE Creation Sheet'!C2</f>
        <v/>
      </c>
      <c r="E2" s="5">
        <f>'BIE Creation Sheet'!P2</f>
        <v/>
      </c>
      <c r="F2" s="5">
        <f>'BIE Creation Sheet'!Q2</f>
        <v/>
      </c>
      <c r="G2" s="28">
        <f>'BIE Creation Sheet'!R2</f>
        <v/>
      </c>
      <c r="H2" s="13">
        <f>B2</f>
        <v/>
      </c>
      <c r="I2" s="13">
        <f>B2</f>
        <v/>
      </c>
      <c r="J2" s="37">
        <f>'BIE Creation Sheet'!F2</f>
        <v/>
      </c>
      <c r="K2" s="5">
        <f>'BIE Creation Sheet'!B2</f>
        <v/>
      </c>
      <c r="L2" s="6" t="n"/>
    </row>
    <row r="3" ht="14.6" customHeight="1" s="1">
      <c r="A3" s="8" t="n"/>
      <c r="B3" s="5">
        <f>'BIE Creation Sheet'!L3</f>
        <v/>
      </c>
      <c r="C3" s="5">
        <f>'BIE Creation Sheet'!M3</f>
        <v/>
      </c>
      <c r="D3" s="5">
        <f>'BIE Creation Sheet'!C3</f>
        <v/>
      </c>
      <c r="E3" s="5">
        <f>'BIE Creation Sheet'!P3</f>
        <v/>
      </c>
      <c r="F3" s="5">
        <f>'BIE Creation Sheet'!Q3</f>
        <v/>
      </c>
      <c r="G3" s="28">
        <f>'BIE Creation Sheet'!R3</f>
        <v/>
      </c>
      <c r="H3" s="13">
        <f>B3</f>
        <v/>
      </c>
      <c r="I3" s="13">
        <f>B3</f>
        <v/>
      </c>
      <c r="J3" s="37">
        <f>'BIE Creation Sheet'!F3</f>
        <v/>
      </c>
      <c r="K3" s="5">
        <f>'BIE Creation Sheet'!B3</f>
        <v/>
      </c>
    </row>
    <row r="4" ht="14.6" customHeight="1" s="1">
      <c r="A4" s="8" t="n"/>
      <c r="B4" s="5">
        <f>'BIE Creation Sheet'!L4</f>
        <v/>
      </c>
      <c r="C4" s="5">
        <f>'BIE Creation Sheet'!M4</f>
        <v/>
      </c>
      <c r="D4" s="5">
        <f>'BIE Creation Sheet'!C4</f>
        <v/>
      </c>
      <c r="E4" s="5">
        <f>'BIE Creation Sheet'!P4</f>
        <v/>
      </c>
      <c r="F4" s="5">
        <f>'BIE Creation Sheet'!Q4</f>
        <v/>
      </c>
      <c r="G4" s="28">
        <f>'BIE Creation Sheet'!R4</f>
        <v/>
      </c>
      <c r="H4" s="13">
        <f>B4</f>
        <v/>
      </c>
      <c r="I4" s="13">
        <f>B4</f>
        <v/>
      </c>
      <c r="J4" s="37">
        <f>'BIE Creation Sheet'!F4</f>
        <v/>
      </c>
      <c r="K4" s="5">
        <f>'BIE Creation Sheet'!B4</f>
        <v/>
      </c>
    </row>
    <row r="5" ht="14.6" customHeight="1" s="1">
      <c r="A5" s="8" t="n"/>
      <c r="B5" s="5">
        <f>'BIE Creation Sheet'!L5</f>
        <v/>
      </c>
      <c r="C5" s="5">
        <f>'BIE Creation Sheet'!M5</f>
        <v/>
      </c>
      <c r="D5" s="5">
        <f>'BIE Creation Sheet'!C5</f>
        <v/>
      </c>
      <c r="E5" s="5">
        <f>'BIE Creation Sheet'!P5</f>
        <v/>
      </c>
      <c r="F5" s="5">
        <f>'BIE Creation Sheet'!Q5</f>
        <v/>
      </c>
      <c r="G5" s="28">
        <f>'BIE Creation Sheet'!R5</f>
        <v/>
      </c>
      <c r="H5" s="13">
        <f>B5</f>
        <v/>
      </c>
      <c r="I5" s="13">
        <f>B5</f>
        <v/>
      </c>
      <c r="J5" s="37">
        <f>'BIE Creation Sheet'!F5</f>
        <v/>
      </c>
      <c r="K5" s="5">
        <f>'BIE Creation Sheet'!B5</f>
        <v/>
      </c>
    </row>
    <row r="6" ht="14.6" customHeight="1" s="1">
      <c r="A6" s="8" t="n"/>
      <c r="B6" s="5">
        <f>'BIE Creation Sheet'!L6</f>
        <v/>
      </c>
      <c r="C6" s="5">
        <f>'BIE Creation Sheet'!M6</f>
        <v/>
      </c>
      <c r="D6" s="5">
        <f>'BIE Creation Sheet'!C6</f>
        <v/>
      </c>
      <c r="E6" s="5">
        <f>'BIE Creation Sheet'!P6</f>
        <v/>
      </c>
      <c r="F6" s="5">
        <f>'BIE Creation Sheet'!Q6</f>
        <v/>
      </c>
      <c r="G6" s="28">
        <f>'BIE Creation Sheet'!R6</f>
        <v/>
      </c>
      <c r="H6" s="13">
        <f>B6</f>
        <v/>
      </c>
      <c r="I6" s="13">
        <f>B6</f>
        <v/>
      </c>
      <c r="J6" s="37">
        <f>'BIE Creation Sheet'!F6</f>
        <v/>
      </c>
      <c r="K6" s="5">
        <f>'BIE Creation Sheet'!B6</f>
        <v/>
      </c>
    </row>
    <row r="7" ht="14.6" customHeight="1" s="1">
      <c r="A7" s="8" t="n"/>
      <c r="B7" s="5">
        <f>'BIE Creation Sheet'!L7</f>
        <v/>
      </c>
      <c r="C7" s="5">
        <f>'BIE Creation Sheet'!M7</f>
        <v/>
      </c>
      <c r="D7" s="5">
        <f>'BIE Creation Sheet'!C7</f>
        <v/>
      </c>
      <c r="E7" s="5">
        <f>'BIE Creation Sheet'!P7</f>
        <v/>
      </c>
      <c r="F7" s="5">
        <f>'BIE Creation Sheet'!Q7</f>
        <v/>
      </c>
      <c r="G7" s="28">
        <f>'BIE Creation Sheet'!R7</f>
        <v/>
      </c>
      <c r="H7" s="13">
        <f>B7</f>
        <v/>
      </c>
      <c r="I7" s="13">
        <f>B7</f>
        <v/>
      </c>
      <c r="J7" s="37">
        <f>'BIE Creation Sheet'!F7</f>
        <v/>
      </c>
      <c r="K7" s="5">
        <f>'BIE Creation Sheet'!B7</f>
        <v/>
      </c>
    </row>
    <row r="8" ht="14.6" customHeight="1" s="1">
      <c r="A8" s="42" t="n"/>
      <c r="B8" s="5">
        <f>'BIE Creation Sheet'!L8</f>
        <v/>
      </c>
      <c r="C8" s="5">
        <f>'BIE Creation Sheet'!M8</f>
        <v/>
      </c>
      <c r="D8" s="5">
        <f>'BIE Creation Sheet'!C8</f>
        <v/>
      </c>
      <c r="E8" s="5">
        <f>'BIE Creation Sheet'!P8</f>
        <v/>
      </c>
      <c r="F8" s="5">
        <f>'BIE Creation Sheet'!Q8</f>
        <v/>
      </c>
      <c r="G8" s="28">
        <f>'BIE Creation Sheet'!R8</f>
        <v/>
      </c>
      <c r="H8" s="13">
        <f>B8</f>
        <v/>
      </c>
      <c r="I8" s="13">
        <f>B8</f>
        <v/>
      </c>
      <c r="J8" s="37">
        <f>'BIE Creation Sheet'!F8</f>
        <v/>
      </c>
      <c r="K8" s="5">
        <f>'BIE Creation Sheet'!B8</f>
        <v/>
      </c>
    </row>
    <row r="9" ht="14.6" customHeight="1" s="1">
      <c r="A9" s="42" t="n"/>
      <c r="B9" s="5">
        <f>'BIE Creation Sheet'!L9</f>
        <v/>
      </c>
      <c r="C9" s="5">
        <f>'BIE Creation Sheet'!M9</f>
        <v/>
      </c>
      <c r="D9" s="5">
        <f>'BIE Creation Sheet'!C9</f>
        <v/>
      </c>
      <c r="E9" s="5">
        <f>'BIE Creation Sheet'!P9</f>
        <v/>
      </c>
      <c r="F9" s="5">
        <f>'BIE Creation Sheet'!Q9</f>
        <v/>
      </c>
      <c r="G9" s="28">
        <f>'BIE Creation Sheet'!R9</f>
        <v/>
      </c>
      <c r="H9" s="13">
        <f>B9</f>
        <v/>
      </c>
      <c r="I9" s="13">
        <f>B9</f>
        <v/>
      </c>
      <c r="J9" s="37">
        <f>'BIE Creation Sheet'!F9</f>
        <v/>
      </c>
      <c r="K9" s="5">
        <f>'BIE Creation Sheet'!B9</f>
        <v/>
      </c>
    </row>
    <row r="10" ht="14.6" customHeight="1" s="1">
      <c r="A10" s="42" t="n"/>
      <c r="B10" s="5">
        <f>'BIE Creation Sheet'!L10</f>
        <v/>
      </c>
      <c r="C10" s="5">
        <f>'BIE Creation Sheet'!M10</f>
        <v/>
      </c>
      <c r="D10" s="5">
        <f>'BIE Creation Sheet'!C10</f>
        <v/>
      </c>
      <c r="E10" s="5">
        <f>'BIE Creation Sheet'!P10</f>
        <v/>
      </c>
      <c r="F10" s="5">
        <f>'BIE Creation Sheet'!Q10</f>
        <v/>
      </c>
      <c r="G10" s="28">
        <f>'BIE Creation Sheet'!R10</f>
        <v/>
      </c>
      <c r="H10" s="13">
        <f>B10</f>
        <v/>
      </c>
      <c r="I10" s="13">
        <f>B10</f>
        <v/>
      </c>
      <c r="J10" s="37">
        <f>'BIE Creation Sheet'!F10</f>
        <v/>
      </c>
      <c r="K10" s="5">
        <f>'BIE Creation Sheet'!B10</f>
        <v/>
      </c>
    </row>
    <row r="11" ht="14.6" customHeight="1" s="1">
      <c r="A11" s="42" t="n"/>
      <c r="B11" s="5">
        <f>'BIE Creation Sheet'!L11</f>
        <v/>
      </c>
      <c r="C11" s="5">
        <f>'BIE Creation Sheet'!M11</f>
        <v/>
      </c>
      <c r="D11" s="5">
        <f>'BIE Creation Sheet'!C11</f>
        <v/>
      </c>
      <c r="E11" s="5">
        <f>'BIE Creation Sheet'!P11</f>
        <v/>
      </c>
      <c r="F11" s="5">
        <f>'BIE Creation Sheet'!Q11</f>
        <v/>
      </c>
      <c r="G11" s="28">
        <f>'BIE Creation Sheet'!R11</f>
        <v/>
      </c>
      <c r="H11" s="13">
        <f>B11</f>
        <v/>
      </c>
      <c r="I11" s="13">
        <f>B11</f>
        <v/>
      </c>
      <c r="J11" s="37">
        <f>'BIE Creation Sheet'!F11</f>
        <v/>
      </c>
      <c r="K11" s="5">
        <f>'BIE Creation Sheet'!B11</f>
        <v/>
      </c>
    </row>
    <row r="12" ht="14.6" customHeight="1" s="1">
      <c r="A12" s="42" t="n"/>
      <c r="B12" s="5">
        <f>'BIE Creation Sheet'!L12</f>
        <v/>
      </c>
      <c r="C12" s="5">
        <f>'BIE Creation Sheet'!M12</f>
        <v/>
      </c>
      <c r="D12" s="5">
        <f>'BIE Creation Sheet'!C12</f>
        <v/>
      </c>
      <c r="E12" s="5">
        <f>'BIE Creation Sheet'!P12</f>
        <v/>
      </c>
      <c r="F12" s="5">
        <f>'BIE Creation Sheet'!Q12</f>
        <v/>
      </c>
      <c r="G12" s="28">
        <f>'BIE Creation Sheet'!R12</f>
        <v/>
      </c>
      <c r="H12" s="13">
        <f>B12</f>
        <v/>
      </c>
      <c r="I12" s="13">
        <f>B12</f>
        <v/>
      </c>
      <c r="J12" s="37">
        <f>'BIE Creation Sheet'!F12</f>
        <v/>
      </c>
      <c r="K12" s="5">
        <f>'BIE Creation Sheet'!B12</f>
        <v/>
      </c>
    </row>
    <row r="13" ht="14.6" customHeight="1" s="1">
      <c r="A13" s="42" t="n"/>
      <c r="B13" s="5">
        <f>'BIE Creation Sheet'!L13</f>
        <v/>
      </c>
      <c r="C13" s="5">
        <f>'BIE Creation Sheet'!M13</f>
        <v/>
      </c>
      <c r="D13" s="5">
        <f>'BIE Creation Sheet'!C13</f>
        <v/>
      </c>
      <c r="E13" s="5">
        <f>'BIE Creation Sheet'!P13</f>
        <v/>
      </c>
      <c r="F13" s="5">
        <f>'BIE Creation Sheet'!Q13</f>
        <v/>
      </c>
      <c r="G13" s="28">
        <f>'BIE Creation Sheet'!R13</f>
        <v/>
      </c>
      <c r="H13" s="13">
        <f>B13</f>
        <v/>
      </c>
      <c r="I13" s="13">
        <f>B13</f>
        <v/>
      </c>
      <c r="J13" s="37">
        <f>'BIE Creation Sheet'!F13</f>
        <v/>
      </c>
      <c r="K13" s="5">
        <f>'BIE Creation Sheet'!B13</f>
        <v/>
      </c>
    </row>
    <row r="14" ht="14.6" customHeight="1" s="1">
      <c r="A14" s="42" t="n"/>
      <c r="B14" s="5">
        <f>'BIE Creation Sheet'!L14</f>
        <v/>
      </c>
      <c r="C14" s="5">
        <f>'BIE Creation Sheet'!M14</f>
        <v/>
      </c>
      <c r="D14" s="5">
        <f>'BIE Creation Sheet'!C14</f>
        <v/>
      </c>
      <c r="E14" s="5">
        <f>'BIE Creation Sheet'!P14</f>
        <v/>
      </c>
      <c r="F14" s="5">
        <f>'BIE Creation Sheet'!Q14</f>
        <v/>
      </c>
      <c r="G14" s="28">
        <f>'BIE Creation Sheet'!R14</f>
        <v/>
      </c>
      <c r="H14" s="13">
        <f>B14</f>
        <v/>
      </c>
      <c r="I14" s="13">
        <f>B14</f>
        <v/>
      </c>
      <c r="J14" s="37">
        <f>'BIE Creation Sheet'!F14</f>
        <v/>
      </c>
      <c r="K14" s="5">
        <f>'BIE Creation Sheet'!B14</f>
        <v/>
      </c>
    </row>
    <row r="15" ht="14.6" customHeight="1" s="1">
      <c r="A15" s="42" t="n"/>
      <c r="B15" s="5">
        <f>'BIE Creation Sheet'!L15</f>
        <v/>
      </c>
      <c r="C15" s="5">
        <f>'BIE Creation Sheet'!M15</f>
        <v/>
      </c>
      <c r="D15" s="5">
        <f>'BIE Creation Sheet'!C15</f>
        <v/>
      </c>
      <c r="E15" s="5">
        <f>'BIE Creation Sheet'!P15</f>
        <v/>
      </c>
      <c r="F15" s="5">
        <f>'BIE Creation Sheet'!Q15</f>
        <v/>
      </c>
      <c r="G15" s="28">
        <f>'BIE Creation Sheet'!R15</f>
        <v/>
      </c>
      <c r="H15" s="13">
        <f>B15</f>
        <v/>
      </c>
      <c r="I15" s="13">
        <f>B15</f>
        <v/>
      </c>
      <c r="J15" s="37">
        <f>'BIE Creation Sheet'!F15</f>
        <v/>
      </c>
      <c r="K15" s="5">
        <f>'BIE Creation Sheet'!B15</f>
        <v/>
      </c>
    </row>
    <row r="16" ht="14.6" customHeight="1" s="1">
      <c r="A16" s="42" t="n"/>
      <c r="B16" s="5">
        <f>'BIE Creation Sheet'!L16</f>
        <v/>
      </c>
      <c r="C16" s="5">
        <f>'BIE Creation Sheet'!M16</f>
        <v/>
      </c>
      <c r="D16" s="5">
        <f>'BIE Creation Sheet'!C16</f>
        <v/>
      </c>
      <c r="E16" s="5">
        <f>'BIE Creation Sheet'!P16</f>
        <v/>
      </c>
      <c r="F16" s="5">
        <f>'BIE Creation Sheet'!Q16</f>
        <v/>
      </c>
      <c r="G16" s="28">
        <f>'BIE Creation Sheet'!R16</f>
        <v/>
      </c>
      <c r="H16" s="13">
        <f>B16</f>
        <v/>
      </c>
      <c r="I16" s="13">
        <f>B16</f>
        <v/>
      </c>
      <c r="J16" s="37">
        <f>'BIE Creation Sheet'!F16</f>
        <v/>
      </c>
      <c r="K16" s="5">
        <f>'BIE Creation Sheet'!B16</f>
        <v/>
      </c>
    </row>
    <row r="17" ht="14.6" customHeight="1" s="1">
      <c r="A17" s="42" t="n"/>
      <c r="B17" s="5">
        <f>'BIE Creation Sheet'!L17</f>
        <v/>
      </c>
      <c r="C17" s="5">
        <f>'BIE Creation Sheet'!M17</f>
        <v/>
      </c>
      <c r="D17" s="5">
        <f>'BIE Creation Sheet'!C17</f>
        <v/>
      </c>
      <c r="E17" s="5">
        <f>'BIE Creation Sheet'!P17</f>
        <v/>
      </c>
      <c r="F17" s="5">
        <f>'BIE Creation Sheet'!Q17</f>
        <v/>
      </c>
      <c r="G17" s="28">
        <f>'BIE Creation Sheet'!R17</f>
        <v/>
      </c>
      <c r="H17" s="13">
        <f>B17</f>
        <v/>
      </c>
      <c r="I17" s="13">
        <f>B17</f>
        <v/>
      </c>
      <c r="J17" s="37">
        <f>'BIE Creation Sheet'!F17</f>
        <v/>
      </c>
      <c r="K17" s="5">
        <f>'BIE Creation Sheet'!B17</f>
        <v/>
      </c>
    </row>
    <row r="18" ht="14.6" customHeight="1" s="1">
      <c r="A18" s="42" t="n"/>
      <c r="B18" s="5">
        <f>'BIE Creation Sheet'!L18</f>
        <v/>
      </c>
      <c r="C18" s="5">
        <f>'BIE Creation Sheet'!M18</f>
        <v/>
      </c>
      <c r="D18" s="5">
        <f>'BIE Creation Sheet'!C18</f>
        <v/>
      </c>
      <c r="E18" s="5">
        <f>'BIE Creation Sheet'!P18</f>
        <v/>
      </c>
      <c r="F18" s="5">
        <f>'BIE Creation Sheet'!Q18</f>
        <v/>
      </c>
      <c r="G18" s="28">
        <f>'BIE Creation Sheet'!R18</f>
        <v/>
      </c>
      <c r="H18" s="13">
        <f>B18</f>
        <v/>
      </c>
      <c r="I18" s="13">
        <f>B18</f>
        <v/>
      </c>
      <c r="J18" s="37">
        <f>'BIE Creation Sheet'!F18</f>
        <v/>
      </c>
      <c r="K18" s="5">
        <f>'BIE Creation Sheet'!B18</f>
        <v/>
      </c>
    </row>
    <row r="19" ht="14.6" customHeight="1" s="1">
      <c r="A19" s="42" t="n"/>
      <c r="B19" s="5">
        <f>'BIE Creation Sheet'!L19</f>
        <v/>
      </c>
      <c r="C19" s="5">
        <f>'BIE Creation Sheet'!M19</f>
        <v/>
      </c>
      <c r="D19" s="5">
        <f>'BIE Creation Sheet'!C19</f>
        <v/>
      </c>
      <c r="E19" s="5">
        <f>'BIE Creation Sheet'!P19</f>
        <v/>
      </c>
      <c r="F19" s="5">
        <f>'BIE Creation Sheet'!Q19</f>
        <v/>
      </c>
      <c r="G19" s="28">
        <f>'BIE Creation Sheet'!R19</f>
        <v/>
      </c>
      <c r="H19" s="13">
        <f>B19</f>
        <v/>
      </c>
      <c r="I19" s="13">
        <f>B19</f>
        <v/>
      </c>
      <c r="J19" s="37">
        <f>'BIE Creation Sheet'!F19</f>
        <v/>
      </c>
      <c r="K19" s="5">
        <f>'BIE Creation Sheet'!B19</f>
        <v/>
      </c>
    </row>
    <row r="20" ht="14.6" customHeight="1" s="1">
      <c r="A20" s="42" t="n"/>
      <c r="B20" s="5">
        <f>'BIE Creation Sheet'!L20</f>
        <v/>
      </c>
      <c r="C20" s="5">
        <f>'BIE Creation Sheet'!M20</f>
        <v/>
      </c>
      <c r="D20" s="5">
        <f>'BIE Creation Sheet'!C20</f>
        <v/>
      </c>
      <c r="E20" s="5">
        <f>'BIE Creation Sheet'!P20</f>
        <v/>
      </c>
      <c r="F20" s="5">
        <f>'BIE Creation Sheet'!Q20</f>
        <v/>
      </c>
      <c r="G20" s="28">
        <f>'BIE Creation Sheet'!R20</f>
        <v/>
      </c>
      <c r="H20" s="13">
        <f>B20</f>
        <v/>
      </c>
      <c r="I20" s="13">
        <f>B20</f>
        <v/>
      </c>
      <c r="J20" s="37">
        <f>'BIE Creation Sheet'!F20</f>
        <v/>
      </c>
      <c r="K20" s="5">
        <f>'BIE Creation Sheet'!B20</f>
        <v/>
      </c>
    </row>
    <row r="21" ht="14.6" customHeight="1" s="1">
      <c r="A21" s="42" t="n"/>
      <c r="B21" s="5">
        <f>'BIE Creation Sheet'!L21</f>
        <v/>
      </c>
      <c r="C21" s="5">
        <f>'BIE Creation Sheet'!M21</f>
        <v/>
      </c>
      <c r="D21" s="5">
        <f>'BIE Creation Sheet'!C21</f>
        <v/>
      </c>
      <c r="E21" s="5">
        <f>'BIE Creation Sheet'!P21</f>
        <v/>
      </c>
      <c r="F21" s="5">
        <f>'BIE Creation Sheet'!Q21</f>
        <v/>
      </c>
      <c r="G21" s="28">
        <f>'BIE Creation Sheet'!R21</f>
        <v/>
      </c>
      <c r="H21" s="13">
        <f>B21</f>
        <v/>
      </c>
      <c r="I21" s="13">
        <f>B21</f>
        <v/>
      </c>
      <c r="J21" s="37">
        <f>'BIE Creation Sheet'!F21</f>
        <v/>
      </c>
      <c r="K21" s="5">
        <f>'BIE Creation Sheet'!B21</f>
        <v/>
      </c>
    </row>
    <row r="22" ht="14.6" customHeight="1" s="1">
      <c r="A22" s="42" t="n"/>
      <c r="B22" s="5">
        <f>'BIE Creation Sheet'!L22</f>
        <v/>
      </c>
      <c r="C22" s="5">
        <f>'BIE Creation Sheet'!M22</f>
        <v/>
      </c>
      <c r="D22" s="5">
        <f>'BIE Creation Sheet'!C22</f>
        <v/>
      </c>
      <c r="E22" s="5">
        <f>'BIE Creation Sheet'!P22</f>
        <v/>
      </c>
      <c r="F22" s="5">
        <f>'BIE Creation Sheet'!Q22</f>
        <v/>
      </c>
      <c r="G22" s="28">
        <f>'BIE Creation Sheet'!R22</f>
        <v/>
      </c>
      <c r="H22" s="13">
        <f>B22</f>
        <v/>
      </c>
      <c r="I22" s="13">
        <f>B22</f>
        <v/>
      </c>
      <c r="J22" s="37">
        <f>'BIE Creation Sheet'!F22</f>
        <v/>
      </c>
      <c r="K22" s="5">
        <f>'BIE Creation Sheet'!B22</f>
        <v/>
      </c>
    </row>
    <row r="23" ht="14.6" customHeight="1" s="1">
      <c r="A23" s="42" t="n"/>
      <c r="B23" s="5">
        <f>'BIE Creation Sheet'!L23</f>
        <v/>
      </c>
      <c r="C23" s="5">
        <f>'BIE Creation Sheet'!M23</f>
        <v/>
      </c>
      <c r="D23" s="5">
        <f>'BIE Creation Sheet'!C23</f>
        <v/>
      </c>
      <c r="E23" s="5">
        <f>'BIE Creation Sheet'!P23</f>
        <v/>
      </c>
      <c r="F23" s="5">
        <f>'BIE Creation Sheet'!Q23</f>
        <v/>
      </c>
      <c r="G23" s="28">
        <f>'BIE Creation Sheet'!R23</f>
        <v/>
      </c>
      <c r="H23" s="13">
        <f>B23</f>
        <v/>
      </c>
      <c r="I23" s="13">
        <f>B23</f>
        <v/>
      </c>
      <c r="J23" s="37">
        <f>'BIE Creation Sheet'!F23</f>
        <v/>
      </c>
      <c r="K23" s="5">
        <f>'BIE Creation Sheet'!B23</f>
        <v/>
      </c>
    </row>
    <row r="24" ht="14.6" customHeight="1" s="1">
      <c r="A24" s="42" t="n"/>
      <c r="B24" s="5">
        <f>'BIE Creation Sheet'!L24</f>
        <v/>
      </c>
      <c r="C24" s="5">
        <f>'BIE Creation Sheet'!M24</f>
        <v/>
      </c>
      <c r="D24" s="5">
        <f>'BIE Creation Sheet'!C24</f>
        <v/>
      </c>
      <c r="E24" s="5">
        <f>'BIE Creation Sheet'!P24</f>
        <v/>
      </c>
      <c r="F24" s="5">
        <f>'BIE Creation Sheet'!Q24</f>
        <v/>
      </c>
      <c r="G24" s="28">
        <f>'BIE Creation Sheet'!R24</f>
        <v/>
      </c>
      <c r="H24" s="13">
        <f>B24</f>
        <v/>
      </c>
      <c r="I24" s="13">
        <f>B24</f>
        <v/>
      </c>
      <c r="J24" s="37">
        <f>'BIE Creation Sheet'!F24</f>
        <v/>
      </c>
      <c r="K24" s="5">
        <f>'BIE Creation Sheet'!B24</f>
        <v/>
      </c>
    </row>
    <row r="25" ht="14.6" customHeight="1" s="1">
      <c r="A25" s="42" t="n"/>
      <c r="B25" s="5">
        <f>'BIE Creation Sheet'!L25</f>
        <v/>
      </c>
      <c r="C25" s="5">
        <f>'BIE Creation Sheet'!M25</f>
        <v/>
      </c>
      <c r="D25" s="5">
        <f>'BIE Creation Sheet'!C25</f>
        <v/>
      </c>
      <c r="E25" s="5">
        <f>'BIE Creation Sheet'!P25</f>
        <v/>
      </c>
      <c r="F25" s="5">
        <f>'BIE Creation Sheet'!Q25</f>
        <v/>
      </c>
      <c r="G25" s="28">
        <f>'BIE Creation Sheet'!R25</f>
        <v/>
      </c>
      <c r="H25" s="13">
        <f>B25</f>
        <v/>
      </c>
      <c r="I25" s="13">
        <f>B25</f>
        <v/>
      </c>
      <c r="J25" s="37">
        <f>'BIE Creation Sheet'!F25</f>
        <v/>
      </c>
      <c r="K25" s="5">
        <f>'BIE Creation Sheet'!B25</f>
        <v/>
      </c>
    </row>
    <row r="26">
      <c r="B26" s="5">
        <f>'BIE Creation Sheet'!L26</f>
        <v/>
      </c>
      <c r="C26" s="5">
        <f>'BIE Creation Sheet'!M26</f>
        <v/>
      </c>
      <c r="D26" s="5">
        <f>'BIE Creation Sheet'!C26</f>
        <v/>
      </c>
      <c r="E26" s="5">
        <f>'BIE Creation Sheet'!P26</f>
        <v/>
      </c>
      <c r="F26" s="5">
        <f>'BIE Creation Sheet'!Q26</f>
        <v/>
      </c>
      <c r="G26" s="28">
        <f>'BIE Creation Sheet'!R26</f>
        <v/>
      </c>
      <c r="H26" s="13">
        <f>B26</f>
        <v/>
      </c>
      <c r="I26" s="13">
        <f>B26</f>
        <v/>
      </c>
      <c r="J26" s="37">
        <f>'BIE Creation Sheet'!F26</f>
        <v/>
      </c>
      <c r="K26" s="5">
        <f>'BIE Creation Sheet'!B26</f>
        <v/>
      </c>
    </row>
    <row r="27">
      <c r="B27" s="5">
        <f>'BIE Creation Sheet'!L27</f>
        <v/>
      </c>
      <c r="C27" s="5">
        <f>'BIE Creation Sheet'!M27</f>
        <v/>
      </c>
      <c r="D27" s="5">
        <f>'BIE Creation Sheet'!C27</f>
        <v/>
      </c>
      <c r="E27" s="5">
        <f>'BIE Creation Sheet'!P27</f>
        <v/>
      </c>
      <c r="F27" s="5">
        <f>'BIE Creation Sheet'!Q27</f>
        <v/>
      </c>
      <c r="G27" s="28">
        <f>'BIE Creation Sheet'!R27</f>
        <v/>
      </c>
      <c r="H27" s="13">
        <f>B27</f>
        <v/>
      </c>
      <c r="I27" s="13">
        <f>B27</f>
        <v/>
      </c>
      <c r="J27" s="37">
        <f>'BIE Creation Sheet'!F27</f>
        <v/>
      </c>
      <c r="K27" s="5">
        <f>'BIE Creation Sheet'!B27</f>
        <v/>
      </c>
    </row>
    <row r="28">
      <c r="B28" s="5">
        <f>'BIE Creation Sheet'!L28</f>
        <v/>
      </c>
      <c r="C28" s="5">
        <f>'BIE Creation Sheet'!M28</f>
        <v/>
      </c>
      <c r="D28" s="5">
        <f>'BIE Creation Sheet'!C28</f>
        <v/>
      </c>
      <c r="E28" s="5">
        <f>'BIE Creation Sheet'!P28</f>
        <v/>
      </c>
      <c r="F28" s="5">
        <f>'BIE Creation Sheet'!Q28</f>
        <v/>
      </c>
      <c r="G28" s="28">
        <f>'BIE Creation Sheet'!R28</f>
        <v/>
      </c>
      <c r="H28" s="13">
        <f>B28</f>
        <v/>
      </c>
      <c r="I28" s="13">
        <f>B28</f>
        <v/>
      </c>
      <c r="J28" s="37">
        <f>'BIE Creation Sheet'!F28</f>
        <v/>
      </c>
      <c r="K28" s="5">
        <f>'BIE Creation Sheet'!B28</f>
        <v/>
      </c>
    </row>
    <row r="29">
      <c r="B29" s="5">
        <f>'BIE Creation Sheet'!L29</f>
        <v/>
      </c>
      <c r="C29" s="5">
        <f>'BIE Creation Sheet'!M29</f>
        <v/>
      </c>
      <c r="D29" s="5">
        <f>'BIE Creation Sheet'!C29</f>
        <v/>
      </c>
      <c r="E29" s="5">
        <f>'BIE Creation Sheet'!P29</f>
        <v/>
      </c>
      <c r="F29" s="5">
        <f>'BIE Creation Sheet'!Q29</f>
        <v/>
      </c>
      <c r="G29" s="28">
        <f>'BIE Creation Sheet'!R29</f>
        <v/>
      </c>
      <c r="H29" s="13">
        <f>B29</f>
        <v/>
      </c>
      <c r="I29" s="13">
        <f>B29</f>
        <v/>
      </c>
      <c r="J29" s="37">
        <f>'BIE Creation Sheet'!F29</f>
        <v/>
      </c>
      <c r="K29" s="5">
        <f>'BIE Creation Sheet'!B29</f>
        <v/>
      </c>
    </row>
    <row r="30">
      <c r="B30" s="5">
        <f>'BIE Creation Sheet'!L30</f>
        <v/>
      </c>
      <c r="C30" s="5">
        <f>'BIE Creation Sheet'!M30</f>
        <v/>
      </c>
      <c r="D30" s="5">
        <f>'BIE Creation Sheet'!C30</f>
        <v/>
      </c>
      <c r="E30" s="5">
        <f>'BIE Creation Sheet'!P30</f>
        <v/>
      </c>
      <c r="F30" s="5">
        <f>'BIE Creation Sheet'!Q30</f>
        <v/>
      </c>
      <c r="G30" s="28">
        <f>'BIE Creation Sheet'!R30</f>
        <v/>
      </c>
      <c r="H30" s="13">
        <f>B30</f>
        <v/>
      </c>
      <c r="I30" s="13">
        <f>B30</f>
        <v/>
      </c>
      <c r="J30" s="37">
        <f>'BIE Creation Sheet'!F30</f>
        <v/>
      </c>
      <c r="K30" s="5">
        <f>'BIE Creation Sheet'!B30</f>
        <v/>
      </c>
    </row>
    <row r="31">
      <c r="B31" s="5">
        <f>'BIE Creation Sheet'!L31</f>
        <v/>
      </c>
      <c r="C31" s="5">
        <f>'BIE Creation Sheet'!M31</f>
        <v/>
      </c>
      <c r="D31" s="5">
        <f>'BIE Creation Sheet'!C31</f>
        <v/>
      </c>
      <c r="E31" s="5">
        <f>'BIE Creation Sheet'!P31</f>
        <v/>
      </c>
      <c r="F31" s="5">
        <f>'BIE Creation Sheet'!Q31</f>
        <v/>
      </c>
      <c r="G31" s="28">
        <f>'BIE Creation Sheet'!R31</f>
        <v/>
      </c>
      <c r="H31" s="13">
        <f>B31</f>
        <v/>
      </c>
      <c r="I31" s="13">
        <f>B31</f>
        <v/>
      </c>
      <c r="J31" s="37">
        <f>'BIE Creation Sheet'!F31</f>
        <v/>
      </c>
      <c r="K31" s="5">
        <f>'BIE Creation Sheet'!B31</f>
        <v/>
      </c>
    </row>
    <row r="32">
      <c r="B32" s="5">
        <f>'BIE Creation Sheet'!L32</f>
        <v/>
      </c>
      <c r="C32" s="5">
        <f>'BIE Creation Sheet'!M32</f>
        <v/>
      </c>
      <c r="D32" s="5">
        <f>'BIE Creation Sheet'!C32</f>
        <v/>
      </c>
      <c r="E32" s="5">
        <f>'BIE Creation Sheet'!P32</f>
        <v/>
      </c>
      <c r="F32" s="5">
        <f>'BIE Creation Sheet'!Q32</f>
        <v/>
      </c>
      <c r="G32" s="28">
        <f>'BIE Creation Sheet'!R32</f>
        <v/>
      </c>
      <c r="H32" s="13">
        <f>B32</f>
        <v/>
      </c>
      <c r="I32" s="13">
        <f>B32</f>
        <v/>
      </c>
      <c r="J32" s="37">
        <f>'BIE Creation Sheet'!F32</f>
        <v/>
      </c>
      <c r="K32" s="5">
        <f>'BIE Creation Sheet'!B32</f>
        <v/>
      </c>
    </row>
    <row r="33" ht="14.6" customHeight="1" s="1">
      <c r="A33" s="0" t="n"/>
      <c r="B33" s="5">
        <f>'BIE Creation Sheet'!L33</f>
        <v/>
      </c>
      <c r="C33" s="5">
        <f>'BIE Creation Sheet'!M33</f>
        <v/>
      </c>
      <c r="D33" s="5">
        <f>'BIE Creation Sheet'!C33</f>
        <v/>
      </c>
      <c r="E33" s="5">
        <f>'BIE Creation Sheet'!P33</f>
        <v/>
      </c>
      <c r="F33" s="5">
        <f>'BIE Creation Sheet'!Q33</f>
        <v/>
      </c>
      <c r="G33" s="28">
        <f>'BIE Creation Sheet'!R33</f>
        <v/>
      </c>
      <c r="H33" s="13">
        <f>B33</f>
        <v/>
      </c>
      <c r="I33" s="13">
        <f>B33</f>
        <v/>
      </c>
      <c r="J33" s="37">
        <f>'BIE Creation Sheet'!F33</f>
        <v/>
      </c>
      <c r="K33" s="5">
        <f>'BIE Creation Sheet'!B33</f>
        <v/>
      </c>
    </row>
    <row r="34">
      <c r="B34" s="5">
        <f>'BIE Creation Sheet'!L34</f>
        <v/>
      </c>
      <c r="C34" s="5">
        <f>'BIE Creation Sheet'!M34</f>
        <v/>
      </c>
      <c r="D34" s="5">
        <f>'BIE Creation Sheet'!C34</f>
        <v/>
      </c>
      <c r="E34" s="5">
        <f>'BIE Creation Sheet'!P34</f>
        <v/>
      </c>
      <c r="F34" s="5">
        <f>'BIE Creation Sheet'!Q34</f>
        <v/>
      </c>
      <c r="G34" s="28">
        <f>'BIE Creation Sheet'!R34</f>
        <v/>
      </c>
      <c r="H34" s="13">
        <f>B34</f>
        <v/>
      </c>
      <c r="I34" s="13">
        <f>B34</f>
        <v/>
      </c>
      <c r="J34" s="37">
        <f>'BIE Creation Sheet'!F34</f>
        <v/>
      </c>
      <c r="K34" s="5">
        <f>'BIE Creation Sheet'!B34</f>
        <v/>
      </c>
    </row>
    <row r="35">
      <c r="B35" s="5">
        <f>'BIE Creation Sheet'!L35</f>
        <v/>
      </c>
      <c r="C35" s="5">
        <f>'BIE Creation Sheet'!M35</f>
        <v/>
      </c>
      <c r="D35" s="5">
        <f>'BIE Creation Sheet'!C35</f>
        <v/>
      </c>
      <c r="E35" s="5">
        <f>'BIE Creation Sheet'!P35</f>
        <v/>
      </c>
      <c r="F35" s="5">
        <f>'BIE Creation Sheet'!Q35</f>
        <v/>
      </c>
      <c r="G35" s="28">
        <f>'BIE Creation Sheet'!R35</f>
        <v/>
      </c>
      <c r="H35" s="13">
        <f>B35</f>
        <v/>
      </c>
      <c r="I35" s="13">
        <f>B35</f>
        <v/>
      </c>
      <c r="J35" s="37">
        <f>'BIE Creation Sheet'!F35</f>
        <v/>
      </c>
      <c r="K35" s="5">
        <f>'BIE Creation Sheet'!B35</f>
        <v/>
      </c>
    </row>
    <row r="36">
      <c r="B36" s="5">
        <f>'BIE Creation Sheet'!L36</f>
        <v/>
      </c>
      <c r="C36" s="5">
        <f>'BIE Creation Sheet'!M36</f>
        <v/>
      </c>
      <c r="D36" s="5">
        <f>'BIE Creation Sheet'!C36</f>
        <v/>
      </c>
      <c r="E36" s="5">
        <f>'BIE Creation Sheet'!P36</f>
        <v/>
      </c>
      <c r="F36" s="5">
        <f>'BIE Creation Sheet'!Q36</f>
        <v/>
      </c>
      <c r="G36" s="28">
        <f>'BIE Creation Sheet'!R36</f>
        <v/>
      </c>
      <c r="H36" s="13">
        <f>B36</f>
        <v/>
      </c>
      <c r="I36" s="13">
        <f>B36</f>
        <v/>
      </c>
      <c r="J36" s="37">
        <f>'BIE Creation Sheet'!F36</f>
        <v/>
      </c>
      <c r="K36" s="5">
        <f>'BIE Creation Sheet'!B36</f>
        <v/>
      </c>
    </row>
    <row r="37">
      <c r="B37" s="5">
        <f>'BIE Creation Sheet'!L37</f>
        <v/>
      </c>
      <c r="C37" s="5">
        <f>'BIE Creation Sheet'!M37</f>
        <v/>
      </c>
      <c r="D37" s="5">
        <f>'BIE Creation Sheet'!C37</f>
        <v/>
      </c>
      <c r="E37" s="5">
        <f>'BIE Creation Sheet'!P37</f>
        <v/>
      </c>
      <c r="F37" s="5">
        <f>'BIE Creation Sheet'!Q37</f>
        <v/>
      </c>
      <c r="G37" s="28">
        <f>'BIE Creation Sheet'!R37</f>
        <v/>
      </c>
      <c r="H37" s="13">
        <f>B37</f>
        <v/>
      </c>
      <c r="I37" s="13">
        <f>B37</f>
        <v/>
      </c>
      <c r="J37" s="37">
        <f>'BIE Creation Sheet'!F37</f>
        <v/>
      </c>
      <c r="K37" s="5">
        <f>'BIE Creation Sheet'!B37</f>
        <v/>
      </c>
    </row>
    <row r="38">
      <c r="B38" s="5">
        <f>'BIE Creation Sheet'!L38</f>
        <v/>
      </c>
      <c r="C38" s="5">
        <f>'BIE Creation Sheet'!M38</f>
        <v/>
      </c>
      <c r="D38" s="5">
        <f>'BIE Creation Sheet'!C38</f>
        <v/>
      </c>
      <c r="E38" s="5">
        <f>'BIE Creation Sheet'!P38</f>
        <v/>
      </c>
      <c r="F38" s="5">
        <f>'BIE Creation Sheet'!Q38</f>
        <v/>
      </c>
      <c r="G38" s="28">
        <f>'BIE Creation Sheet'!R38</f>
        <v/>
      </c>
      <c r="H38" s="13">
        <f>B38</f>
        <v/>
      </c>
      <c r="I38" s="13">
        <f>B38</f>
        <v/>
      </c>
      <c r="J38" s="37">
        <f>'BIE Creation Sheet'!F38</f>
        <v/>
      </c>
      <c r="K38" s="5">
        <f>'BIE Creation Sheet'!B38</f>
        <v/>
      </c>
    </row>
    <row r="39">
      <c r="B39" s="5">
        <f>'BIE Creation Sheet'!L39</f>
        <v/>
      </c>
      <c r="C39" s="5">
        <f>'BIE Creation Sheet'!M39</f>
        <v/>
      </c>
      <c r="D39" s="5">
        <f>'BIE Creation Sheet'!C39</f>
        <v/>
      </c>
      <c r="E39" s="5">
        <f>'BIE Creation Sheet'!P39</f>
        <v/>
      </c>
      <c r="F39" s="5">
        <f>'BIE Creation Sheet'!Q39</f>
        <v/>
      </c>
      <c r="G39" s="28">
        <f>'BIE Creation Sheet'!R39</f>
        <v/>
      </c>
      <c r="H39" s="13">
        <f>B39</f>
        <v/>
      </c>
      <c r="I39" s="13">
        <f>B39</f>
        <v/>
      </c>
      <c r="J39" s="37">
        <f>'BIE Creation Sheet'!F39</f>
        <v/>
      </c>
      <c r="K39" s="5">
        <f>'BIE Creation Sheet'!B39</f>
        <v/>
      </c>
    </row>
    <row r="40">
      <c r="B40" s="5">
        <f>'BIE Creation Sheet'!L40</f>
        <v/>
      </c>
      <c r="C40" s="5">
        <f>'BIE Creation Sheet'!M40</f>
        <v/>
      </c>
      <c r="D40" s="5">
        <f>'BIE Creation Sheet'!C40</f>
        <v/>
      </c>
      <c r="E40" s="5">
        <f>'BIE Creation Sheet'!P40</f>
        <v/>
      </c>
      <c r="F40" s="5">
        <f>'BIE Creation Sheet'!Q40</f>
        <v/>
      </c>
      <c r="G40" s="28">
        <f>'BIE Creation Sheet'!R40</f>
        <v/>
      </c>
      <c r="H40" s="13">
        <f>B40</f>
        <v/>
      </c>
      <c r="I40" s="13">
        <f>B40</f>
        <v/>
      </c>
      <c r="J40" s="37">
        <f>'BIE Creation Sheet'!F40</f>
        <v/>
      </c>
      <c r="K40" s="5">
        <f>'BIE Creation Sheet'!B40</f>
        <v/>
      </c>
    </row>
    <row r="41">
      <c r="B41" s="5">
        <f>'BIE Creation Sheet'!L41</f>
        <v/>
      </c>
      <c r="C41" s="5">
        <f>'BIE Creation Sheet'!M41</f>
        <v/>
      </c>
      <c r="D41" s="5">
        <f>'BIE Creation Sheet'!C41</f>
        <v/>
      </c>
      <c r="E41" s="5">
        <f>'BIE Creation Sheet'!P41</f>
        <v/>
      </c>
      <c r="F41" s="5">
        <f>'BIE Creation Sheet'!Q41</f>
        <v/>
      </c>
      <c r="G41" s="28">
        <f>'BIE Creation Sheet'!R41</f>
        <v/>
      </c>
      <c r="H41" s="13">
        <f>B41</f>
        <v/>
      </c>
      <c r="I41" s="13">
        <f>B41</f>
        <v/>
      </c>
      <c r="J41" s="37">
        <f>'BIE Creation Sheet'!F41</f>
        <v/>
      </c>
      <c r="K41" s="5">
        <f>'BIE Creation Sheet'!B41</f>
        <v/>
      </c>
    </row>
    <row r="42">
      <c r="B42" s="5">
        <f>'BIE Creation Sheet'!L42</f>
        <v/>
      </c>
      <c r="C42" s="5">
        <f>'BIE Creation Sheet'!M42</f>
        <v/>
      </c>
      <c r="D42" s="5">
        <f>'BIE Creation Sheet'!C42</f>
        <v/>
      </c>
      <c r="E42" s="5">
        <f>'BIE Creation Sheet'!P42</f>
        <v/>
      </c>
      <c r="F42" s="5">
        <f>'BIE Creation Sheet'!Q42</f>
        <v/>
      </c>
      <c r="G42" s="28">
        <f>'BIE Creation Sheet'!R42</f>
        <v/>
      </c>
      <c r="H42" s="13">
        <f>B42</f>
        <v/>
      </c>
      <c r="I42" s="13">
        <f>B42</f>
        <v/>
      </c>
      <c r="J42" s="37">
        <f>'BIE Creation Sheet'!F42</f>
        <v/>
      </c>
      <c r="K42" s="5">
        <f>'BIE Creation Sheet'!B42</f>
        <v/>
      </c>
    </row>
    <row r="43">
      <c r="B43" s="5">
        <f>'BIE Creation Sheet'!L43</f>
        <v/>
      </c>
      <c r="C43" s="5">
        <f>'BIE Creation Sheet'!M43</f>
        <v/>
      </c>
      <c r="D43" s="5">
        <f>'BIE Creation Sheet'!C43</f>
        <v/>
      </c>
      <c r="E43" s="5">
        <f>'BIE Creation Sheet'!P43</f>
        <v/>
      </c>
      <c r="F43" s="5">
        <f>'BIE Creation Sheet'!Q43</f>
        <v/>
      </c>
      <c r="G43" s="28">
        <f>'BIE Creation Sheet'!R43</f>
        <v/>
      </c>
      <c r="H43" s="13">
        <f>B43</f>
        <v/>
      </c>
      <c r="I43" s="13">
        <f>B43</f>
        <v/>
      </c>
      <c r="J43" s="37">
        <f>'BIE Creation Sheet'!F43</f>
        <v/>
      </c>
      <c r="K43" s="5">
        <f>'BIE Creation Sheet'!B43</f>
        <v/>
      </c>
    </row>
    <row r="44">
      <c r="B44" s="5">
        <f>'BIE Creation Sheet'!L44</f>
        <v/>
      </c>
      <c r="C44" s="5">
        <f>'BIE Creation Sheet'!M44</f>
        <v/>
      </c>
      <c r="D44" s="5">
        <f>'BIE Creation Sheet'!C44</f>
        <v/>
      </c>
      <c r="E44" s="5">
        <f>'BIE Creation Sheet'!P44</f>
        <v/>
      </c>
      <c r="F44" s="5">
        <f>'BIE Creation Sheet'!Q44</f>
        <v/>
      </c>
      <c r="G44" s="28">
        <f>'BIE Creation Sheet'!R44</f>
        <v/>
      </c>
      <c r="H44" s="13">
        <f>B44</f>
        <v/>
      </c>
      <c r="I44" s="13">
        <f>B44</f>
        <v/>
      </c>
      <c r="J44" s="37">
        <f>'BIE Creation Sheet'!F44</f>
        <v/>
      </c>
      <c r="K44" s="5">
        <f>'BIE Creation Sheet'!B44</f>
        <v/>
      </c>
    </row>
    <row r="45">
      <c r="B45" s="5">
        <f>'BIE Creation Sheet'!L45</f>
        <v/>
      </c>
      <c r="C45" s="5">
        <f>'BIE Creation Sheet'!M45</f>
        <v/>
      </c>
      <c r="D45" s="5">
        <f>'BIE Creation Sheet'!C45</f>
        <v/>
      </c>
      <c r="E45" s="5">
        <f>'BIE Creation Sheet'!P45</f>
        <v/>
      </c>
      <c r="F45" s="5">
        <f>'BIE Creation Sheet'!Q45</f>
        <v/>
      </c>
      <c r="G45" s="28">
        <f>'BIE Creation Sheet'!R45</f>
        <v/>
      </c>
      <c r="H45" s="13">
        <f>B45</f>
        <v/>
      </c>
      <c r="I45" s="13">
        <f>B45</f>
        <v/>
      </c>
      <c r="J45" s="37">
        <f>'BIE Creation Sheet'!F45</f>
        <v/>
      </c>
      <c r="K45" s="5">
        <f>'BIE Creation Sheet'!B45</f>
        <v/>
      </c>
    </row>
    <row r="46">
      <c r="B46" s="5">
        <f>'BIE Creation Sheet'!L46</f>
        <v/>
      </c>
      <c r="C46" s="5">
        <f>'BIE Creation Sheet'!M46</f>
        <v/>
      </c>
      <c r="D46" s="5">
        <f>'BIE Creation Sheet'!C46</f>
        <v/>
      </c>
      <c r="E46" s="5">
        <f>'BIE Creation Sheet'!P46</f>
        <v/>
      </c>
      <c r="F46" s="5">
        <f>'BIE Creation Sheet'!Q46</f>
        <v/>
      </c>
      <c r="G46" s="28">
        <f>'BIE Creation Sheet'!R46</f>
        <v/>
      </c>
      <c r="H46" s="13">
        <f>B46</f>
        <v/>
      </c>
      <c r="I46" s="13">
        <f>B46</f>
        <v/>
      </c>
      <c r="J46" s="37">
        <f>'BIE Creation Sheet'!F46</f>
        <v/>
      </c>
      <c r="K46" s="5">
        <f>'BIE Creation Sheet'!B46</f>
        <v/>
      </c>
    </row>
    <row r="47">
      <c r="B47" s="5">
        <f>'BIE Creation Sheet'!L47</f>
        <v/>
      </c>
      <c r="C47" s="5">
        <f>'BIE Creation Sheet'!M47</f>
        <v/>
      </c>
      <c r="D47" s="5">
        <f>'BIE Creation Sheet'!C47</f>
        <v/>
      </c>
      <c r="E47" s="5">
        <f>'BIE Creation Sheet'!P47</f>
        <v/>
      </c>
      <c r="F47" s="5">
        <f>'BIE Creation Sheet'!Q47</f>
        <v/>
      </c>
      <c r="G47" s="28">
        <f>'BIE Creation Sheet'!R47</f>
        <v/>
      </c>
      <c r="H47" s="13">
        <f>B47</f>
        <v/>
      </c>
      <c r="I47" s="13">
        <f>B47</f>
        <v/>
      </c>
      <c r="J47" s="37">
        <f>'BIE Creation Sheet'!F47</f>
        <v/>
      </c>
      <c r="K47" s="5">
        <f>'BIE Creation Sheet'!B47</f>
        <v/>
      </c>
    </row>
    <row r="48">
      <c r="B48" s="5">
        <f>'BIE Creation Sheet'!L48</f>
        <v/>
      </c>
      <c r="C48" s="5">
        <f>'BIE Creation Sheet'!M48</f>
        <v/>
      </c>
      <c r="D48" s="5">
        <f>'BIE Creation Sheet'!C48</f>
        <v/>
      </c>
      <c r="E48" s="5">
        <f>'BIE Creation Sheet'!P48</f>
        <v/>
      </c>
      <c r="F48" s="5">
        <f>'BIE Creation Sheet'!Q48</f>
        <v/>
      </c>
      <c r="G48" s="28">
        <f>'BIE Creation Sheet'!R48</f>
        <v/>
      </c>
      <c r="H48" s="13">
        <f>B48</f>
        <v/>
      </c>
      <c r="I48" s="13">
        <f>B48</f>
        <v/>
      </c>
      <c r="J48" s="37">
        <f>'BIE Creation Sheet'!F48</f>
        <v/>
      </c>
      <c r="K48" s="5">
        <f>'BIE Creation Sheet'!B48</f>
        <v/>
      </c>
    </row>
    <row r="49">
      <c r="B49" s="5">
        <f>'BIE Creation Sheet'!L49</f>
        <v/>
      </c>
      <c r="C49" s="5">
        <f>'BIE Creation Sheet'!M49</f>
        <v/>
      </c>
      <c r="D49" s="5">
        <f>'BIE Creation Sheet'!C49</f>
        <v/>
      </c>
      <c r="E49" s="5">
        <f>'BIE Creation Sheet'!P49</f>
        <v/>
      </c>
      <c r="F49" s="5">
        <f>'BIE Creation Sheet'!Q49</f>
        <v/>
      </c>
      <c r="G49" s="28">
        <f>'BIE Creation Sheet'!R49</f>
        <v/>
      </c>
      <c r="H49" s="13">
        <f>B49</f>
        <v/>
      </c>
      <c r="I49" s="13">
        <f>B49</f>
        <v/>
      </c>
      <c r="J49" s="37">
        <f>'BIE Creation Sheet'!F49</f>
        <v/>
      </c>
      <c r="K49" s="5">
        <f>'BIE Creation Sheet'!B49</f>
        <v/>
      </c>
    </row>
    <row r="50">
      <c r="B50" s="5">
        <f>'BIE Creation Sheet'!L50</f>
        <v/>
      </c>
      <c r="C50" s="5">
        <f>'BIE Creation Sheet'!M50</f>
        <v/>
      </c>
      <c r="D50" s="5">
        <f>'BIE Creation Sheet'!C50</f>
        <v/>
      </c>
      <c r="E50" s="5">
        <f>'BIE Creation Sheet'!P50</f>
        <v/>
      </c>
      <c r="F50" s="5">
        <f>'BIE Creation Sheet'!Q50</f>
        <v/>
      </c>
      <c r="G50" s="28">
        <f>'BIE Creation Sheet'!R50</f>
        <v/>
      </c>
      <c r="H50" s="13">
        <f>B50</f>
        <v/>
      </c>
      <c r="I50" s="13">
        <f>B50</f>
        <v/>
      </c>
      <c r="J50" s="37">
        <f>'BIE Creation Sheet'!F50</f>
        <v/>
      </c>
      <c r="K50" s="5">
        <f>'BIE Creation Sheet'!B50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07"/>
  <sheetViews>
    <sheetView zoomScaleNormal="100" workbookViewId="0">
      <selection activeCell="S9" sqref="S9"/>
    </sheetView>
  </sheetViews>
  <sheetFormatPr baseColWidth="8" defaultColWidth="8.84375" defaultRowHeight="14.6"/>
  <cols>
    <col width="67" bestFit="1" customWidth="1" style="1" min="1" max="1"/>
    <col width="25.3828125" customWidth="1" style="70" min="2" max="2"/>
    <col width="9.84375" customWidth="1" style="1" min="3" max="3"/>
    <col width="10.15234375" customWidth="1" style="1" min="4" max="4"/>
    <col width="10.84375" customWidth="1" style="1" min="5" max="5"/>
    <col width="12" customWidth="1" style="1" min="6" max="6"/>
    <col width="15.3046875" customWidth="1" style="60" min="7" max="7"/>
    <col width="22.84375" bestFit="1" customWidth="1" style="66" min="8" max="8"/>
    <col width="12.15234375" customWidth="1" style="1" min="9" max="9"/>
    <col width="13" bestFit="1" customWidth="1" style="1" min="10" max="10"/>
    <col width="4.3828125" customWidth="1" style="1" min="11" max="11"/>
    <col width="5.15234375" customWidth="1" style="1" min="12" max="12"/>
    <col width="5.84375" customWidth="1" style="1" min="13" max="13"/>
    <col width="5.15234375" customWidth="1" style="1" min="14" max="14"/>
  </cols>
  <sheetData>
    <row r="1" ht="96.45" customFormat="1" customHeight="1" s="52">
      <c r="A1" s="44" t="inlineStr">
        <is>
          <t xml:space="preserve">Log Automate Studio 24.1
SAP System: Client: SAP User - Q01:400:MMASTER
Script Name   -   ZMPS2_S4H.Txr
Mode - Standard (Non Batch without controls)
Start Row   -   57 End Row   -   76
Number of Errors   -   0 Records Uploaded   -   20
Date and Time   -   10/07/2026 15:03:50
Execution Time   -   0:00:12
Run Reason   -    </t>
        </is>
      </c>
      <c r="B1" s="67" t="inlineStr">
        <is>
          <t>Material Number
RMMG1-MATNR</t>
        </is>
      </c>
      <c r="C1" s="50" t="inlineStr">
        <is>
          <t>Plant
RMMG1-WERKS</t>
        </is>
      </c>
      <c r="D1" s="50" t="inlineStr">
        <is>
          <t>Sales Organization
RMMG1-VKORG</t>
        </is>
      </c>
      <c r="E1" s="50" t="inlineStr">
        <is>
          <t>Distribution Channel
RMMG1-VTWEG</t>
        </is>
      </c>
      <c r="F1" s="50" t="inlineStr">
        <is>
          <t>Delivering Plant (Own or External)
MVKE-DWERK</t>
        </is>
      </c>
      <c r="G1" s="67" t="inlineStr">
        <is>
          <t>Material Pricing Group
MVKE-KONDM</t>
        </is>
      </c>
      <c r="H1" s="63" t="inlineStr">
        <is>
          <t>Product hierarchy
MVKE-PRODH</t>
        </is>
      </c>
      <c r="I1" s="50" t="inlineStr">
        <is>
          <t>Country of origin of the material
MARC-HERKL</t>
        </is>
      </c>
      <c r="J1" s="50" t="inlineStr">
        <is>
          <t>Standard price
MBEW-STPRS</t>
        </is>
      </c>
      <c r="Q1" s="71" t="inlineStr">
        <is>
          <t>No of materials</t>
        </is>
      </c>
      <c r="R1" s="71" t="inlineStr">
        <is>
          <t>Entries per material</t>
        </is>
      </c>
      <c r="S1" s="71" t="inlineStr">
        <is>
          <t>Drag it to row</t>
        </is>
      </c>
    </row>
    <row r="2" ht="15.9" customFormat="1" customHeight="1" s="52">
      <c r="A2" s="8" t="n"/>
      <c r="B2" s="68">
        <f t="array" ref="B2">INDEX('BIE Creation Sheet'!L:L,INT((ROW()-2)/25)+2)</f>
        <v/>
      </c>
      <c r="C2" s="53">
        <f>CHOOSE(MOD(ROW()-2,26)+1,
"D20","D21","D28","D29","D81","E21","E31","E51","E61","E62","E73","E83","F01","F11","F12","G12","H41","E01","I21","I41","E91","E92","E23","E81","D22","D20")</f>
        <v/>
      </c>
      <c r="D2" s="54">
        <f>CHOOSE(MOD(ROW()-2,25)+1,
"BNF","BND","BNN","BNS","BIA",
"BUK","BIR","BBE","BNL","BNL",
"BFR","BIG","BSW","BIT","BIT",
"BES","BPT","BIE","BPL1","BCZ1",
"BAT","BAT","BUK","BIG","BND")</f>
        <v/>
      </c>
      <c r="E2" s="59">
        <f>"01"</f>
        <v/>
      </c>
      <c r="F2" s="54">
        <f>CHOOSE(MOD(ROW()-2,25)+1,
"D20","D21","D28","D29","D81",
"E21","E31","E51","E61","E62",
"E73","E83","F01","F11","F12",
"G12","H41","E01","E92","E92",
"E92","E92","E21","E83","D22")</f>
        <v/>
      </c>
      <c r="G2" s="48">
        <f t="array" ref="G2">INDEX('BIE Creation Sheet'!X:X,INT((ROW()-2)/25)+2)</f>
        <v/>
      </c>
      <c r="H2" s="64">
        <f t="array" ref="H2">INDEX('BIE Creation Sheet'!R:R,INT((ROW()-2)/25)+2)</f>
        <v/>
      </c>
      <c r="I2" s="54">
        <f>CHOOSE(MOD(ROW()-2,25)+1,
"FI","DK","SV","NO","DE",
"GB","IR","BE","NL","NL",
"FR","DE","CH","IT","IT",
"ES","PT","GB","PL","CZ",
"AT","AT","GB","DE","DK")</f>
        <v/>
      </c>
      <c r="J2" s="0">
        <f>0.01</f>
        <v/>
      </c>
      <c r="L2" s="56" t="inlineStr">
        <is>
          <t>Not at E01 BIE</t>
        </is>
      </c>
      <c r="M2" s="54" t="n"/>
      <c r="O2" s="52" t="inlineStr">
        <is>
          <t>del plant</t>
        </is>
      </c>
      <c r="Q2" s="72" t="n"/>
      <c r="R2" s="72" t="n"/>
      <c r="S2" s="72" t="n"/>
    </row>
    <row r="3" ht="15.9" customFormat="1" customHeight="1" s="52">
      <c r="A3" s="8" t="n"/>
      <c r="B3" s="68">
        <f t="array" ref="B3">INDEX('BIE Creation Sheet'!L:L,INT((ROW()-2)/25)+2)</f>
        <v/>
      </c>
      <c r="C3" s="53">
        <f>CHOOSE(MOD(ROW()-2,26)+1,
"D20","D21","D28","D29","D81","E21","E31","E51","E61","E62","E73","E83","F01","F11","F12","G12","H41","E01","I21","I41","E91","E92","E23","E81","D22","D20")</f>
        <v/>
      </c>
      <c r="D3" s="54">
        <f>CHOOSE(MOD(ROW()-2,25)+1,
"BNF","BND","BNN","BNS","BIA",
"BUK","BIR","BBE","BNL","BNL",
"BFR","BIG","BSW","BIT","BIT",
"BES","BPT","BIE","BPL1","BCZ1",
"BAT","BAT","BUK","BIG","BND")</f>
        <v/>
      </c>
      <c r="E3" s="59">
        <f>"01"</f>
        <v/>
      </c>
      <c r="F3" s="54">
        <f>CHOOSE(MOD(ROW()-2,25)+1,
"D20","D21","D28","D29","D81",
"E21","E31","E51","E61","E62",
"E73","E83","F01","F11","F12",
"G12","H41","E01","E92","E92",
"E92","E92","E21","E83","D22")</f>
        <v/>
      </c>
      <c r="G3" s="48">
        <f t="array" ref="G3">INDEX('BIE Creation Sheet'!X:X,INT((ROW()-2)/25)+2)</f>
        <v/>
      </c>
      <c r="H3" s="64">
        <f t="array" ref="H3">INDEX('BIE Creation Sheet'!R:R,INT((ROW()-2)/25)+2)</f>
        <v/>
      </c>
      <c r="I3" s="54">
        <f>CHOOSE(MOD(ROW()-2,25)+1,
"FI","DK","SV","NO","DE",
"GB","IR","BE","NL","NL",
"FR","DE","CH","IT","IT",
"ES","PT","GB","PL","CZ",
"AT","AT","GB","DE","DK")</f>
        <v/>
      </c>
      <c r="J3" s="0">
        <f>0.01</f>
        <v/>
      </c>
      <c r="L3" s="53" t="inlineStr">
        <is>
          <t>D20</t>
        </is>
      </c>
      <c r="M3" s="54" t="inlineStr">
        <is>
          <t>BNF</t>
        </is>
      </c>
      <c r="N3" s="54" t="inlineStr">
        <is>
          <t>FI</t>
        </is>
      </c>
      <c r="O3" s="54" t="inlineStr">
        <is>
          <t>D20</t>
        </is>
      </c>
      <c r="Q3" s="73" t="n">
        <v>2</v>
      </c>
      <c r="R3" s="73" t="n">
        <v>25</v>
      </c>
      <c r="S3" s="74">
        <f>Q3*R3+1</f>
        <v/>
      </c>
    </row>
    <row r="4" ht="15.9" customFormat="1" customHeight="1" s="52">
      <c r="A4" s="8" t="n"/>
      <c r="B4" s="68">
        <f t="array" ref="B4">INDEX('BIE Creation Sheet'!L:L,INT((ROW()-2)/25)+2)</f>
        <v/>
      </c>
      <c r="C4" s="53">
        <f>CHOOSE(MOD(ROW()-2,26)+1,
"D20","D21","D28","D29","D81","E21","E31","E51","E61","E62","E73","E83","F01","F11","F12","G12","H41","E01","I21","I41","E91","E92","E23","E81","D22","D20")</f>
        <v/>
      </c>
      <c r="D4" s="54">
        <f>CHOOSE(MOD(ROW()-2,25)+1,
"BNF","BND","BNN","BNS","BIA",
"BUK","BIR","BBE","BNL","BNL",
"BFR","BIG","BSW","BIT","BIT",
"BES","BPT","BIE","BPL1","BCZ1",
"BAT","BAT","BUK","BIG","BND")</f>
        <v/>
      </c>
      <c r="E4" s="59">
        <f>"01"</f>
        <v/>
      </c>
      <c r="F4" s="54">
        <f>CHOOSE(MOD(ROW()-2,25)+1,
"D20","D21","D28","D29","D81",
"E21","E31","E51","E61","E62",
"E73","E83","F01","F11","F12",
"G12","H41","E01","E92","E92",
"E92","E92","E21","E83","D22")</f>
        <v/>
      </c>
      <c r="G4" s="48">
        <f t="array" ref="G4">INDEX('BIE Creation Sheet'!X:X,INT((ROW()-2)/25)+2)</f>
        <v/>
      </c>
      <c r="H4" s="64">
        <f t="array" ref="H4">INDEX('BIE Creation Sheet'!R:R,INT((ROW()-2)/25)+2)</f>
        <v/>
      </c>
      <c r="I4" s="54">
        <f>CHOOSE(MOD(ROW()-2,25)+1,
"FI","DK","SV","NO","DE",
"GB","IR","BE","NL","NL",
"FR","DE","CH","IT","IT",
"ES","PT","GB","PL","CZ",
"AT","AT","GB","DE","DK")</f>
        <v/>
      </c>
      <c r="J4" s="0">
        <f>0.01</f>
        <v/>
      </c>
      <c r="L4" s="54" t="inlineStr">
        <is>
          <t>D21</t>
        </is>
      </c>
      <c r="M4" s="54" t="inlineStr">
        <is>
          <t>BND</t>
        </is>
      </c>
      <c r="N4" s="54" t="inlineStr">
        <is>
          <t>DK</t>
        </is>
      </c>
      <c r="O4" s="54" t="inlineStr">
        <is>
          <t>D21</t>
        </is>
      </c>
      <c r="Q4" s="57" t="inlineStr">
        <is>
          <t> </t>
        </is>
      </c>
    </row>
    <row r="5" ht="15.9" customFormat="1" customHeight="1" s="52">
      <c r="A5" s="8" t="n"/>
      <c r="B5" s="68">
        <f t="array" ref="B5">INDEX('BIE Creation Sheet'!L:L,INT((ROW()-2)/25)+2)</f>
        <v/>
      </c>
      <c r="C5" s="53">
        <f>CHOOSE(MOD(ROW()-2,26)+1,
"D20","D21","D28","D29","D81","E21","E31","E51","E61","E62","E73","E83","F01","F11","F12","G12","H41","E01","I21","I41","E91","E92","E23","E81","D22","D20")</f>
        <v/>
      </c>
      <c r="D5" s="54">
        <f>CHOOSE(MOD(ROW()-2,25)+1,
"BNF","BND","BNN","BNS","BIA",
"BUK","BIR","BBE","BNL","BNL",
"BFR","BIG","BSW","BIT","BIT",
"BES","BPT","BIE","BPL1","BCZ1",
"BAT","BAT","BUK","BIG","BND")</f>
        <v/>
      </c>
      <c r="E5" s="59">
        <f>"01"</f>
        <v/>
      </c>
      <c r="F5" s="54">
        <f>CHOOSE(MOD(ROW()-2,25)+1,
"D20","D21","D28","D29","D81",
"E21","E31","E51","E61","E62",
"E73","E83","F01","F11","F12",
"G12","H41","E01","E92","E92",
"E92","E92","E21","E83","D22")</f>
        <v/>
      </c>
      <c r="G5" s="48">
        <f t="array" ref="G5">INDEX('BIE Creation Sheet'!X:X,INT((ROW()-2)/25)+2)</f>
        <v/>
      </c>
      <c r="H5" s="64">
        <f t="array" ref="H5">INDEX('BIE Creation Sheet'!R:R,INT((ROW()-2)/25)+2)</f>
        <v/>
      </c>
      <c r="I5" s="54">
        <f>CHOOSE(MOD(ROW()-2,25)+1,
"FI","DK","SV","NO","DE",
"GB","IR","BE","NL","NL",
"FR","DE","CH","IT","IT",
"ES","PT","GB","PL","CZ",
"AT","AT","GB","DE","DK")</f>
        <v/>
      </c>
      <c r="J5" s="0">
        <f>0.01</f>
        <v/>
      </c>
      <c r="L5" s="54" t="inlineStr">
        <is>
          <t>D28</t>
        </is>
      </c>
      <c r="M5" s="54" t="inlineStr">
        <is>
          <t>BNN</t>
        </is>
      </c>
      <c r="N5" s="54" t="inlineStr">
        <is>
          <t>SV</t>
        </is>
      </c>
      <c r="O5" s="54" t="inlineStr">
        <is>
          <t>D28</t>
        </is>
      </c>
      <c r="Q5" s="57" t="inlineStr">
        <is>
          <t> </t>
        </is>
      </c>
    </row>
    <row r="6" ht="15.9" customFormat="1" customHeight="1" s="52">
      <c r="A6" s="8" t="n"/>
      <c r="B6" s="68">
        <f t="array" ref="B6">INDEX('BIE Creation Sheet'!L:L,INT((ROW()-2)/25)+2)</f>
        <v/>
      </c>
      <c r="C6" s="53">
        <f>CHOOSE(MOD(ROW()-2,26)+1,
"D20","D21","D28","D29","D81","E21","E31","E51","E61","E62","E73","E83","F01","F11","F12","G12","H41","E01","I21","I41","E91","E92","E23","E81","D22","D20")</f>
        <v/>
      </c>
      <c r="D6" s="54">
        <f>CHOOSE(MOD(ROW()-2,25)+1,
"BNF","BND","BNN","BNS","BIA",
"BUK","BIR","BBE","BNL","BNL",
"BFR","BIG","BSW","BIT","BIT",
"BES","BPT","BIE","BPL1","BCZ1",
"BAT","BAT","BUK","BIG","BND")</f>
        <v/>
      </c>
      <c r="E6" s="59">
        <f>"01"</f>
        <v/>
      </c>
      <c r="F6" s="54">
        <f>CHOOSE(MOD(ROW()-2,25)+1,
"D20","D21","D28","D29","D81",
"E21","E31","E51","E61","E62",
"E73","E83","F01","F11","F12",
"G12","H41","E01","E92","E92",
"E92","E92","E21","E83","D22")</f>
        <v/>
      </c>
      <c r="G6" s="48">
        <f t="array" ref="G6">INDEX('BIE Creation Sheet'!X:X,INT((ROW()-2)/25)+2)</f>
        <v/>
      </c>
      <c r="H6" s="64">
        <f t="array" ref="H6">INDEX('BIE Creation Sheet'!R:R,INT((ROW()-2)/25)+2)</f>
        <v/>
      </c>
      <c r="I6" s="54">
        <f>CHOOSE(MOD(ROW()-2,25)+1,
"FI","DK","SV","NO","DE",
"GB","IR","BE","NL","NL",
"FR","DE","CH","IT","IT",
"ES","PT","GB","PL","CZ",
"AT","AT","GB","DE","DK")</f>
        <v/>
      </c>
      <c r="J6" s="0">
        <f>0.01</f>
        <v/>
      </c>
      <c r="L6" s="54" t="inlineStr">
        <is>
          <t>D29</t>
        </is>
      </c>
      <c r="M6" s="54" t="inlineStr">
        <is>
          <t>BNS</t>
        </is>
      </c>
      <c r="N6" s="54" t="inlineStr">
        <is>
          <t>NO</t>
        </is>
      </c>
      <c r="O6" s="54" t="inlineStr">
        <is>
          <t>D29</t>
        </is>
      </c>
      <c r="Q6" s="57" t="inlineStr">
        <is>
          <t> </t>
        </is>
      </c>
    </row>
    <row r="7" ht="15.9" customFormat="1" customHeight="1" s="52">
      <c r="A7" s="8" t="n"/>
      <c r="B7" s="68">
        <f t="array" ref="B7">INDEX('BIE Creation Sheet'!L:L,INT((ROW()-2)/25)+2)</f>
        <v/>
      </c>
      <c r="C7" s="53">
        <f>CHOOSE(MOD(ROW()-2,26)+1,
"D20","D21","D28","D29","D81","E21","E31","E51","E61","E62","E73","E83","F01","F11","F12","G12","H41","E01","I21","I41","E91","E92","E23","E81","D22","D20")</f>
        <v/>
      </c>
      <c r="D7" s="54">
        <f>CHOOSE(MOD(ROW()-2,25)+1,
"BNF","BND","BNN","BNS","BIA",
"BUK","BIR","BBE","BNL","BNL",
"BFR","BIG","BSW","BIT","BIT",
"BES","BPT","BIE","BPL1","BCZ1",
"BAT","BAT","BUK","BIG","BND")</f>
        <v/>
      </c>
      <c r="E7" s="59">
        <f>"01"</f>
        <v/>
      </c>
      <c r="F7" s="54">
        <f>CHOOSE(MOD(ROW()-2,25)+1,
"D20","D21","D28","D29","D81",
"E21","E31","E51","E61","E62",
"E73","E83","F01","F11","F12",
"G12","H41","E01","E92","E92",
"E92","E92","E21","E83","D22")</f>
        <v/>
      </c>
      <c r="G7" s="48">
        <f t="array" ref="G7">INDEX('BIE Creation Sheet'!X:X,INT((ROW()-2)/25)+2)</f>
        <v/>
      </c>
      <c r="H7" s="64">
        <f t="array" ref="H7">INDEX('BIE Creation Sheet'!R:R,INT((ROW()-2)/25)+2)</f>
        <v/>
      </c>
      <c r="I7" s="54">
        <f>CHOOSE(MOD(ROW()-2,25)+1,
"FI","DK","SV","NO","DE",
"GB","IR","BE","NL","NL",
"FR","DE","CH","IT","IT",
"ES","PT","GB","PL","CZ",
"AT","AT","GB","DE","DK")</f>
        <v/>
      </c>
      <c r="J7" s="0">
        <f>0.01</f>
        <v/>
      </c>
      <c r="L7" s="54" t="inlineStr">
        <is>
          <t>D81</t>
        </is>
      </c>
      <c r="M7" s="54" t="inlineStr">
        <is>
          <t>BIA</t>
        </is>
      </c>
      <c r="N7" s="54" t="inlineStr">
        <is>
          <t>DE</t>
        </is>
      </c>
      <c r="O7" s="54" t="inlineStr">
        <is>
          <t>D81</t>
        </is>
      </c>
      <c r="Q7" s="57" t="inlineStr">
        <is>
          <t> </t>
        </is>
      </c>
    </row>
    <row r="8" ht="15.9" customFormat="1" customHeight="1" s="52">
      <c r="A8" s="8" t="n"/>
      <c r="B8" s="68">
        <f t="array" ref="B8">INDEX('BIE Creation Sheet'!L:L,INT((ROW()-2)/25)+2)</f>
        <v/>
      </c>
      <c r="C8" s="53">
        <f>CHOOSE(MOD(ROW()-2,26)+1,
"D20","D21","D28","D29","D81","E21","E31","E51","E61","E62","E73","E83","F01","F11","F12","G12","H41","E01","I21","I41","E91","E92","E23","E81","D22","D20")</f>
        <v/>
      </c>
      <c r="D8" s="54">
        <f>CHOOSE(MOD(ROW()-2,25)+1,
"BNF","BND","BNN","BNS","BIA",
"BUK","BIR","BBE","BNL","BNL",
"BFR","BIG","BSW","BIT","BIT",
"BES","BPT","BIE","BPL1","BCZ1",
"BAT","BAT","BUK","BIG","BND")</f>
        <v/>
      </c>
      <c r="E8" s="59">
        <f>"01"</f>
        <v/>
      </c>
      <c r="F8" s="54">
        <f>CHOOSE(MOD(ROW()-2,25)+1,
"D20","D21","D28","D29","D81",
"E21","E31","E51","E61","E62",
"E73","E83","F01","F11","F12",
"G12","H41","E01","E92","E92",
"E92","E92","E21","E83","D22")</f>
        <v/>
      </c>
      <c r="G8" s="48">
        <f t="array" ref="G8">INDEX('BIE Creation Sheet'!X:X,INT((ROW()-2)/25)+2)</f>
        <v/>
      </c>
      <c r="H8" s="64">
        <f t="array" ref="H8">INDEX('BIE Creation Sheet'!R:R,INT((ROW()-2)/25)+2)</f>
        <v/>
      </c>
      <c r="I8" s="54">
        <f>CHOOSE(MOD(ROW()-2,25)+1,
"FI","DK","SV","NO","DE",
"GB","IR","BE","NL","NL",
"FR","DE","CH","IT","IT",
"ES","PT","GB","PL","CZ",
"AT","AT","GB","DE","DK")</f>
        <v/>
      </c>
      <c r="J8" s="0">
        <f>0.01</f>
        <v/>
      </c>
      <c r="L8" s="54" t="inlineStr">
        <is>
          <t>E21</t>
        </is>
      </c>
      <c r="M8" s="54" t="inlineStr">
        <is>
          <t>BUK</t>
        </is>
      </c>
      <c r="N8" s="54" t="inlineStr">
        <is>
          <t>GB</t>
        </is>
      </c>
      <c r="O8" s="54" t="inlineStr">
        <is>
          <t>E21</t>
        </is>
      </c>
      <c r="Q8" s="57" t="inlineStr">
        <is>
          <t> </t>
        </is>
      </c>
    </row>
    <row r="9" ht="15.9" customFormat="1" customHeight="1" s="52">
      <c r="A9" s="8" t="n"/>
      <c r="B9" s="68">
        <f t="array" ref="B9">INDEX('BIE Creation Sheet'!L:L,INT((ROW()-2)/25)+2)</f>
        <v/>
      </c>
      <c r="C9" s="53">
        <f>CHOOSE(MOD(ROW()-2,26)+1,
"D20","D21","D28","D29","D81","E21","E31","E51","E61","E62","E73","E83","F01","F11","F12","G12","H41","E01","I21","I41","E91","E92","E23","E81","D22","D20")</f>
        <v/>
      </c>
      <c r="D9" s="54">
        <f>CHOOSE(MOD(ROW()-2,25)+1,
"BNF","BND","BNN","BNS","BIA",
"BUK","BIR","BBE","BNL","BNL",
"BFR","BIG","BSW","BIT","BIT",
"BES","BPT","BIE","BPL1","BCZ1",
"BAT","BAT","BUK","BIG","BND")</f>
        <v/>
      </c>
      <c r="E9" s="59">
        <f>"01"</f>
        <v/>
      </c>
      <c r="F9" s="54">
        <f>CHOOSE(MOD(ROW()-2,25)+1,
"D20","D21","D28","D29","D81",
"E21","E31","E51","E61","E62",
"E73","E83","F01","F11","F12",
"G12","H41","E01","E92","E92",
"E92","E92","E21","E83","D22")</f>
        <v/>
      </c>
      <c r="G9" s="48">
        <f t="array" ref="G9">INDEX('BIE Creation Sheet'!X:X,INT((ROW()-2)/25)+2)</f>
        <v/>
      </c>
      <c r="H9" s="64">
        <f t="array" ref="H9">INDEX('BIE Creation Sheet'!R:R,INT((ROW()-2)/25)+2)</f>
        <v/>
      </c>
      <c r="I9" s="54">
        <f>CHOOSE(MOD(ROW()-2,25)+1,
"FI","DK","SV","NO","DE",
"GB","IR","BE","NL","NL",
"FR","DE","CH","IT","IT",
"ES","PT","GB","PL","CZ",
"AT","AT","GB","DE","DK")</f>
        <v/>
      </c>
      <c r="J9" s="0">
        <f>0.01</f>
        <v/>
      </c>
      <c r="L9" s="54" t="inlineStr">
        <is>
          <t>E31</t>
        </is>
      </c>
      <c r="M9" s="54" t="inlineStr">
        <is>
          <t>BIR</t>
        </is>
      </c>
      <c r="N9" s="54" t="inlineStr">
        <is>
          <t>IR</t>
        </is>
      </c>
      <c r="O9" s="54" t="inlineStr">
        <is>
          <t>E31</t>
        </is>
      </c>
      <c r="Q9" s="57" t="inlineStr">
        <is>
          <t> </t>
        </is>
      </c>
    </row>
    <row r="10" ht="15.9" customFormat="1" customHeight="1" s="52">
      <c r="A10" s="8" t="n"/>
      <c r="B10" s="68">
        <f t="array" ref="B10">INDEX('BIE Creation Sheet'!L:L,INT((ROW()-2)/25)+2)</f>
        <v/>
      </c>
      <c r="C10" s="53">
        <f>CHOOSE(MOD(ROW()-2,26)+1,
"D20","D21","D28","D29","D81","E21","E31","E51","E61","E62","E73","E83","F01","F11","F12","G12","H41","E01","I21","I41","E91","E92","E23","E81","D22","D20")</f>
        <v/>
      </c>
      <c r="D10" s="54">
        <f>CHOOSE(MOD(ROW()-2,25)+1,
"BNF","BND","BNN","BNS","BIA",
"BUK","BIR","BBE","BNL","BNL",
"BFR","BIG","BSW","BIT","BIT",
"BES","BPT","BIE","BPL1","BCZ1",
"BAT","BAT","BUK","BIG","BND")</f>
        <v/>
      </c>
      <c r="E10" s="59">
        <f>"01"</f>
        <v/>
      </c>
      <c r="F10" s="54">
        <f>CHOOSE(MOD(ROW()-2,25)+1,
"D20","D21","D28","D29","D81",
"E21","E31","E51","E61","E62",
"E73","E83","F01","F11","F12",
"G12","H41","E01","E92","E92",
"E92","E92","E21","E83","D22")</f>
        <v/>
      </c>
      <c r="G10" s="48">
        <f t="array" ref="G10">INDEX('BIE Creation Sheet'!X:X,INT((ROW()-2)/25)+2)</f>
        <v/>
      </c>
      <c r="H10" s="64">
        <f t="array" ref="H10">INDEX('BIE Creation Sheet'!R:R,INT((ROW()-2)/25)+2)</f>
        <v/>
      </c>
      <c r="I10" s="54">
        <f>CHOOSE(MOD(ROW()-2,25)+1,
"FI","DK","SV","NO","DE",
"GB","IR","BE","NL","NL",
"FR","DE","CH","IT","IT",
"ES","PT","GB","PL","CZ",
"AT","AT","GB","DE","DK")</f>
        <v/>
      </c>
      <c r="J10" s="0">
        <f>0.01</f>
        <v/>
      </c>
      <c r="L10" s="54" t="inlineStr">
        <is>
          <t>E51</t>
        </is>
      </c>
      <c r="M10" s="54" t="inlineStr">
        <is>
          <t>BBE</t>
        </is>
      </c>
      <c r="N10" s="54" t="inlineStr">
        <is>
          <t>BE</t>
        </is>
      </c>
      <c r="O10" s="54" t="inlineStr">
        <is>
          <t>E51</t>
        </is>
      </c>
      <c r="Q10" s="57" t="inlineStr">
        <is>
          <t> </t>
        </is>
      </c>
    </row>
    <row r="11" ht="15.9" customFormat="1" customHeight="1" s="52">
      <c r="A11" s="8" t="n"/>
      <c r="B11" s="68">
        <f t="array" ref="B11">INDEX('BIE Creation Sheet'!L:L,INT((ROW()-2)/25)+2)</f>
        <v/>
      </c>
      <c r="C11" s="53">
        <f>CHOOSE(MOD(ROW()-2,26)+1,
"D20","D21","D28","D29","D81","E21","E31","E51","E61","E62","E73","E83","F01","F11","F12","G12","H41","E01","I21","I41","E91","E92","E23","E81","D22","D20")</f>
        <v/>
      </c>
      <c r="D11" s="54">
        <f>CHOOSE(MOD(ROW()-2,25)+1,
"BNF","BND","BNN","BNS","BIA",
"BUK","BIR","BBE","BNL","BNL",
"BFR","BIG","BSW","BIT","BIT",
"BES","BPT","BIE","BPL1","BCZ1",
"BAT","BAT","BUK","BIG","BND")</f>
        <v/>
      </c>
      <c r="E11" s="59">
        <f>"01"</f>
        <v/>
      </c>
      <c r="F11" s="54">
        <f>CHOOSE(MOD(ROW()-2,25)+1,
"D20","D21","D28","D29","D81",
"E21","E31","E51","E61","E62",
"E73","E83","F01","F11","F12",
"G12","H41","E01","E92","E92",
"E92","E92","E21","E83","D22")</f>
        <v/>
      </c>
      <c r="G11" s="48">
        <f t="array" ref="G11">INDEX('BIE Creation Sheet'!X:X,INT((ROW()-2)/25)+2)</f>
        <v/>
      </c>
      <c r="H11" s="64">
        <f t="array" ref="H11">INDEX('BIE Creation Sheet'!R:R,INT((ROW()-2)/25)+2)</f>
        <v/>
      </c>
      <c r="I11" s="54">
        <f>CHOOSE(MOD(ROW()-2,25)+1,
"FI","DK","SV","NO","DE",
"GB","IR","BE","NL","NL",
"FR","DE","CH","IT","IT",
"ES","PT","GB","PL","CZ",
"AT","AT","GB","DE","DK")</f>
        <v/>
      </c>
      <c r="J11" s="0">
        <f>0.01</f>
        <v/>
      </c>
      <c r="L11" s="54" t="inlineStr">
        <is>
          <t>E61</t>
        </is>
      </c>
      <c r="M11" s="54" t="inlineStr">
        <is>
          <t>BNL</t>
        </is>
      </c>
      <c r="N11" s="54" t="inlineStr">
        <is>
          <t>NL</t>
        </is>
      </c>
      <c r="O11" s="54" t="inlineStr">
        <is>
          <t>E61</t>
        </is>
      </c>
      <c r="Q11" s="57" t="inlineStr">
        <is>
          <t> </t>
        </is>
      </c>
    </row>
    <row r="12" ht="15.9" customFormat="1" customHeight="1" s="52">
      <c r="A12" s="8" t="n"/>
      <c r="B12" s="68">
        <f t="array" ref="B12">INDEX('BIE Creation Sheet'!L:L,INT((ROW()-2)/25)+2)</f>
        <v/>
      </c>
      <c r="C12" s="53">
        <f>CHOOSE(MOD(ROW()-2,26)+1,
"D20","D21","D28","D29","D81","E21","E31","E51","E61","E62","E73","E83","F01","F11","F12","G12","H41","E01","I21","I41","E91","E92","E23","E81","D22","D20")</f>
        <v/>
      </c>
      <c r="D12" s="54">
        <f>CHOOSE(MOD(ROW()-2,25)+1,
"BNF","BND","BNN","BNS","BIA",
"BUK","BIR","BBE","BNL","BNL",
"BFR","BIG","BSW","BIT","BIT",
"BES","BPT","BIE","BPL1","BCZ1",
"BAT","BAT","BUK","BIG","BND")</f>
        <v/>
      </c>
      <c r="E12" s="59">
        <f>"01"</f>
        <v/>
      </c>
      <c r="F12" s="54">
        <f>CHOOSE(MOD(ROW()-2,25)+1,
"D20","D21","D28","D29","D81",
"E21","E31","E51","E61","E62",
"E73","E83","F01","F11","F12",
"G12","H41","E01","E92","E92",
"E92","E92","E21","E83","D22")</f>
        <v/>
      </c>
      <c r="G12" s="48">
        <f t="array" ref="G12">INDEX('BIE Creation Sheet'!X:X,INT((ROW()-2)/25)+2)</f>
        <v/>
      </c>
      <c r="H12" s="64">
        <f t="array" ref="H12">INDEX('BIE Creation Sheet'!R:R,INT((ROW()-2)/25)+2)</f>
        <v/>
      </c>
      <c r="I12" s="54">
        <f>CHOOSE(MOD(ROW()-2,25)+1,
"FI","DK","SV","NO","DE",
"GB","IR","BE","NL","NL",
"FR","DE","CH","IT","IT",
"ES","PT","GB","PL","CZ",
"AT","AT","GB","DE","DK")</f>
        <v/>
      </c>
      <c r="J12" s="0">
        <f>0.01</f>
        <v/>
      </c>
      <c r="L12" s="54" t="inlineStr">
        <is>
          <t>E62</t>
        </is>
      </c>
      <c r="M12" s="54" t="inlineStr">
        <is>
          <t>BNL</t>
        </is>
      </c>
      <c r="N12" s="54" t="inlineStr">
        <is>
          <t>NL</t>
        </is>
      </c>
      <c r="O12" s="54" t="inlineStr">
        <is>
          <t>E62</t>
        </is>
      </c>
      <c r="Q12" s="57" t="inlineStr">
        <is>
          <t> </t>
        </is>
      </c>
    </row>
    <row r="13" ht="15.9" customFormat="1" customHeight="1" s="52">
      <c r="A13" s="8" t="n"/>
      <c r="B13" s="68">
        <f t="array" ref="B13">INDEX('BIE Creation Sheet'!L:L,INT((ROW()-2)/25)+2)</f>
        <v/>
      </c>
      <c r="C13" s="53">
        <f>CHOOSE(MOD(ROW()-2,26)+1,
"D20","D21","D28","D29","D81","E21","E31","E51","E61","E62","E73","E83","F01","F11","F12","G12","H41","E01","I21","I41","E91","E92","E23","E81","D22","D20")</f>
        <v/>
      </c>
      <c r="D13" s="54">
        <f>CHOOSE(MOD(ROW()-2,25)+1,
"BNF","BND","BNN","BNS","BIA",
"BUK","BIR","BBE","BNL","BNL",
"BFR","BIG","BSW","BIT","BIT",
"BES","BPT","BIE","BPL1","BCZ1",
"BAT","BAT","BUK","BIG","BND")</f>
        <v/>
      </c>
      <c r="E13" s="59">
        <f>"01"</f>
        <v/>
      </c>
      <c r="F13" s="54">
        <f>CHOOSE(MOD(ROW()-2,25)+1,
"D20","D21","D28","D29","D81",
"E21","E31","E51","E61","E62",
"E73","E83","F01","F11","F12",
"G12","H41","E01","E92","E92",
"E92","E92","E21","E83","D22")</f>
        <v/>
      </c>
      <c r="G13" s="48">
        <f t="array" ref="G13">INDEX('BIE Creation Sheet'!X:X,INT((ROW()-2)/25)+2)</f>
        <v/>
      </c>
      <c r="H13" s="64">
        <f t="array" ref="H13">INDEX('BIE Creation Sheet'!R:R,INT((ROW()-2)/25)+2)</f>
        <v/>
      </c>
      <c r="I13" s="54">
        <f>CHOOSE(MOD(ROW()-2,25)+1,
"FI","DK","SV","NO","DE",
"GB","IR","BE","NL","NL",
"FR","DE","CH","IT","IT",
"ES","PT","GB","PL","CZ",
"AT","AT","GB","DE","DK")</f>
        <v/>
      </c>
      <c r="J13" s="0">
        <f>0.01</f>
        <v/>
      </c>
      <c r="L13" s="54" t="inlineStr">
        <is>
          <t>E73</t>
        </is>
      </c>
      <c r="M13" s="54" t="inlineStr">
        <is>
          <t>BFR</t>
        </is>
      </c>
      <c r="N13" s="54" t="inlineStr">
        <is>
          <t>FR</t>
        </is>
      </c>
      <c r="O13" s="54" t="inlineStr">
        <is>
          <t>E73</t>
        </is>
      </c>
      <c r="Q13" s="57" t="inlineStr">
        <is>
          <t> </t>
        </is>
      </c>
    </row>
    <row r="14" ht="15.9" customFormat="1" customHeight="1" s="52">
      <c r="A14" s="8" t="n"/>
      <c r="B14" s="68">
        <f t="array" ref="B14">INDEX('BIE Creation Sheet'!L:L,INT((ROW()-2)/25)+2)</f>
        <v/>
      </c>
      <c r="C14" s="53">
        <f>CHOOSE(MOD(ROW()-2,26)+1,
"D20","D21","D28","D29","D81","E21","E31","E51","E61","E62","E73","E83","F01","F11","F12","G12","H41","E01","I21","I41","E91","E92","E23","E81","D22","D20")</f>
        <v/>
      </c>
      <c r="D14" s="54">
        <f>CHOOSE(MOD(ROW()-2,25)+1,
"BNF","BND","BNN","BNS","BIA",
"BUK","BIR","BBE","BNL","BNL",
"BFR","BIG","BSW","BIT","BIT",
"BES","BPT","BIE","BPL1","BCZ1",
"BAT","BAT","BUK","BIG","BND")</f>
        <v/>
      </c>
      <c r="E14" s="59">
        <f>"01"</f>
        <v/>
      </c>
      <c r="F14" s="54">
        <f>CHOOSE(MOD(ROW()-2,25)+1,
"D20","D21","D28","D29","D81",
"E21","E31","E51","E61","E62",
"E73","E83","F01","F11","F12",
"G12","H41","E01","E92","E92",
"E92","E92","E21","E83","D22")</f>
        <v/>
      </c>
      <c r="G14" s="48">
        <f t="array" ref="G14">INDEX('BIE Creation Sheet'!X:X,INT((ROW()-2)/25)+2)</f>
        <v/>
      </c>
      <c r="H14" s="64">
        <f t="array" ref="H14">INDEX('BIE Creation Sheet'!R:R,INT((ROW()-2)/25)+2)</f>
        <v/>
      </c>
      <c r="I14" s="54">
        <f>CHOOSE(MOD(ROW()-2,25)+1,
"FI","DK","SV","NO","DE",
"GB","IR","BE","NL","NL",
"FR","DE","CH","IT","IT",
"ES","PT","GB","PL","CZ",
"AT","AT","GB","DE","DK")</f>
        <v/>
      </c>
      <c r="J14" s="0">
        <f>0.01</f>
        <v/>
      </c>
      <c r="L14" s="54" t="inlineStr">
        <is>
          <t>E83</t>
        </is>
      </c>
      <c r="M14" s="54" t="inlineStr">
        <is>
          <t>BIG</t>
        </is>
      </c>
      <c r="N14" s="54" t="inlineStr">
        <is>
          <t>DE</t>
        </is>
      </c>
      <c r="O14" s="54" t="inlineStr">
        <is>
          <t>E83</t>
        </is>
      </c>
      <c r="Q14" s="57" t="inlineStr">
        <is>
          <t> </t>
        </is>
      </c>
    </row>
    <row r="15" ht="15.9" customFormat="1" customHeight="1" s="52">
      <c r="A15" s="8" t="n"/>
      <c r="B15" s="68">
        <f t="array" ref="B15">INDEX('BIE Creation Sheet'!L:L,INT((ROW()-2)/25)+2)</f>
        <v/>
      </c>
      <c r="C15" s="53">
        <f>CHOOSE(MOD(ROW()-2,26)+1,
"D20","D21","D28","D29","D81","E21","E31","E51","E61","E62","E73","E83","F01","F11","F12","G12","H41","E01","I21","I41","E91","E92","E23","E81","D22","D20")</f>
        <v/>
      </c>
      <c r="D15" s="54">
        <f>CHOOSE(MOD(ROW()-2,25)+1,
"BNF","BND","BNN","BNS","BIA",
"BUK","BIR","BBE","BNL","BNL",
"BFR","BIG","BSW","BIT","BIT",
"BES","BPT","BIE","BPL1","BCZ1",
"BAT","BAT","BUK","BIG","BND")</f>
        <v/>
      </c>
      <c r="E15" s="59">
        <f>"01"</f>
        <v/>
      </c>
      <c r="F15" s="54">
        <f>CHOOSE(MOD(ROW()-2,25)+1,
"D20","D21","D28","D29","D81",
"E21","E31","E51","E61","E62",
"E73","E83","F01","F11","F12",
"G12","H41","E01","E92","E92",
"E92","E92","E21","E83","D22")</f>
        <v/>
      </c>
      <c r="G15" s="48">
        <f t="array" ref="G15">INDEX('BIE Creation Sheet'!X:X,INT((ROW()-2)/25)+2)</f>
        <v/>
      </c>
      <c r="H15" s="64">
        <f t="array" ref="H15">INDEX('BIE Creation Sheet'!R:R,INT((ROW()-2)/25)+2)</f>
        <v/>
      </c>
      <c r="I15" s="54">
        <f>CHOOSE(MOD(ROW()-2,25)+1,
"FI","DK","SV","NO","DE",
"GB","IR","BE","NL","NL",
"FR","DE","CH","IT","IT",
"ES","PT","GB","PL","CZ",
"AT","AT","GB","DE","DK")</f>
        <v/>
      </c>
      <c r="J15" s="0">
        <f>0.01</f>
        <v/>
      </c>
      <c r="L15" s="54" t="inlineStr">
        <is>
          <t>F01</t>
        </is>
      </c>
      <c r="M15" s="54" t="inlineStr">
        <is>
          <t>BSW</t>
        </is>
      </c>
      <c r="N15" s="54" t="inlineStr">
        <is>
          <t>CH</t>
        </is>
      </c>
      <c r="O15" s="54" t="inlineStr">
        <is>
          <t>F01</t>
        </is>
      </c>
      <c r="Q15" s="57" t="inlineStr">
        <is>
          <t> </t>
        </is>
      </c>
    </row>
    <row r="16" ht="15.9" customFormat="1" customHeight="1" s="52">
      <c r="A16" s="8" t="n"/>
      <c r="B16" s="68">
        <f t="array" ref="B16">INDEX('BIE Creation Sheet'!L:L,INT((ROW()-2)/25)+2)</f>
        <v/>
      </c>
      <c r="C16" s="53">
        <f>CHOOSE(MOD(ROW()-2,26)+1,
"D20","D21","D28","D29","D81","E21","E31","E51","E61","E62","E73","E83","F01","F11","F12","G12","H41","E01","I21","I41","E91","E92","E23","E81","D22","D20")</f>
        <v/>
      </c>
      <c r="D16" s="54">
        <f>CHOOSE(MOD(ROW()-2,25)+1,
"BNF","BND","BNN","BNS","BIA",
"BUK","BIR","BBE","BNL","BNL",
"BFR","BIG","BSW","BIT","BIT",
"BES","BPT","BIE","BPL1","BCZ1",
"BAT","BAT","BUK","BIG","BND")</f>
        <v/>
      </c>
      <c r="E16" s="59">
        <f>"01"</f>
        <v/>
      </c>
      <c r="F16" s="54">
        <f>CHOOSE(MOD(ROW()-2,25)+1,
"D20","D21","D28","D29","D81",
"E21","E31","E51","E61","E62",
"E73","E83","F01","F11","F12",
"G12","H41","E01","E92","E92",
"E92","E92","E21","E83","D22")</f>
        <v/>
      </c>
      <c r="G16" s="48">
        <f t="array" ref="G16">INDEX('BIE Creation Sheet'!X:X,INT((ROW()-2)/25)+2)</f>
        <v/>
      </c>
      <c r="H16" s="64">
        <f t="array" ref="H16">INDEX('BIE Creation Sheet'!R:R,INT((ROW()-2)/25)+2)</f>
        <v/>
      </c>
      <c r="I16" s="54">
        <f>CHOOSE(MOD(ROW()-2,25)+1,
"FI","DK","SV","NO","DE",
"GB","IR","BE","NL","NL",
"FR","DE","CH","IT","IT",
"ES","PT","GB","PL","CZ",
"AT","AT","GB","DE","DK")</f>
        <v/>
      </c>
      <c r="J16" s="0">
        <f>0.01</f>
        <v/>
      </c>
      <c r="L16" s="54" t="inlineStr">
        <is>
          <t>F11</t>
        </is>
      </c>
      <c r="M16" s="54" t="inlineStr">
        <is>
          <t>BIT</t>
        </is>
      </c>
      <c r="N16" s="54" t="inlineStr">
        <is>
          <t>IT</t>
        </is>
      </c>
      <c r="O16" s="54" t="inlineStr">
        <is>
          <t>F11</t>
        </is>
      </c>
      <c r="Q16" s="57" t="inlineStr">
        <is>
          <t> </t>
        </is>
      </c>
    </row>
    <row r="17" ht="15.9" customFormat="1" customHeight="1" s="52">
      <c r="A17" s="8" t="n"/>
      <c r="B17" s="68">
        <f t="array" ref="B17">INDEX('BIE Creation Sheet'!L:L,INT((ROW()-2)/25)+2)</f>
        <v/>
      </c>
      <c r="C17" s="53">
        <f>CHOOSE(MOD(ROW()-2,26)+1,
"D20","D21","D28","D29","D81","E21","E31","E51","E61","E62","E73","E83","F01","F11","F12","G12","H41","E01","I21","I41","E91","E92","E23","E81","D22","D20")</f>
        <v/>
      </c>
      <c r="D17" s="54">
        <f>CHOOSE(MOD(ROW()-2,25)+1,
"BNF","BND","BNN","BNS","BIA",
"BUK","BIR","BBE","BNL","BNL",
"BFR","BIG","BSW","BIT","BIT",
"BES","BPT","BIE","BPL1","BCZ1",
"BAT","BAT","BUK","BIG","BND")</f>
        <v/>
      </c>
      <c r="E17" s="59">
        <f>"01"</f>
        <v/>
      </c>
      <c r="F17" s="54">
        <f>CHOOSE(MOD(ROW()-2,25)+1,
"D20","D21","D28","D29","D81",
"E21","E31","E51","E61","E62",
"E73","E83","F01","F11","F12",
"G12","H41","E01","E92","E92",
"E92","E92","E21","E83","D22")</f>
        <v/>
      </c>
      <c r="G17" s="48">
        <f t="array" ref="G17">INDEX('BIE Creation Sheet'!X:X,INT((ROW()-2)/25)+2)</f>
        <v/>
      </c>
      <c r="H17" s="64">
        <f t="array" ref="H17">INDEX('BIE Creation Sheet'!R:R,INT((ROW()-2)/25)+2)</f>
        <v/>
      </c>
      <c r="I17" s="54">
        <f>CHOOSE(MOD(ROW()-2,25)+1,
"FI","DK","SV","NO","DE",
"GB","IR","BE","NL","NL",
"FR","DE","CH","IT","IT",
"ES","PT","GB","PL","CZ",
"AT","AT","GB","DE","DK")</f>
        <v/>
      </c>
      <c r="J17" s="0">
        <f>0.01</f>
        <v/>
      </c>
      <c r="L17" s="54" t="inlineStr">
        <is>
          <t>F12</t>
        </is>
      </c>
      <c r="M17" s="54" t="inlineStr">
        <is>
          <t>BIT</t>
        </is>
      </c>
      <c r="N17" s="54" t="inlineStr">
        <is>
          <t>IT</t>
        </is>
      </c>
      <c r="O17" s="54" t="inlineStr">
        <is>
          <t>F12</t>
        </is>
      </c>
      <c r="Q17" s="57" t="inlineStr">
        <is>
          <t> </t>
        </is>
      </c>
    </row>
    <row r="18" ht="15.9" customFormat="1" customHeight="1" s="52">
      <c r="A18" s="8" t="n"/>
      <c r="B18" s="68">
        <f t="array" ref="B18">INDEX('BIE Creation Sheet'!L:L,INT((ROW()-2)/25)+2)</f>
        <v/>
      </c>
      <c r="C18" s="53">
        <f>CHOOSE(MOD(ROW()-2,26)+1,
"D20","D21","D28","D29","D81","E21","E31","E51","E61","E62","E73","E83","F01","F11","F12","G12","H41","E01","I21","I41","E91","E92","E23","E81","D22","D20")</f>
        <v/>
      </c>
      <c r="D18" s="54">
        <f>CHOOSE(MOD(ROW()-2,25)+1,
"BNF","BND","BNN","BNS","BIA",
"BUK","BIR","BBE","BNL","BNL",
"BFR","BIG","BSW","BIT","BIT",
"BES","BPT","BIE","BPL1","BCZ1",
"BAT","BAT","BUK","BIG","BND")</f>
        <v/>
      </c>
      <c r="E18" s="59">
        <f>"01"</f>
        <v/>
      </c>
      <c r="F18" s="54">
        <f>CHOOSE(MOD(ROW()-2,25)+1,
"D20","D21","D28","D29","D81",
"E21","E31","E51","E61","E62",
"E73","E83","F01","F11","F12",
"G12","H41","E01","E92","E92",
"E92","E92","E21","E83","D22")</f>
        <v/>
      </c>
      <c r="G18" s="48">
        <f t="array" ref="G18">INDEX('BIE Creation Sheet'!X:X,INT((ROW()-2)/25)+2)</f>
        <v/>
      </c>
      <c r="H18" s="64">
        <f t="array" ref="H18">INDEX('BIE Creation Sheet'!R:R,INT((ROW()-2)/25)+2)</f>
        <v/>
      </c>
      <c r="I18" s="54">
        <f>CHOOSE(MOD(ROW()-2,25)+1,
"FI","DK","SV","NO","DE",
"GB","IR","BE","NL","NL",
"FR","DE","CH","IT","IT",
"ES","PT","GB","PL","CZ",
"AT","AT","GB","DE","DK")</f>
        <v/>
      </c>
      <c r="J18" s="0">
        <f>0.01</f>
        <v/>
      </c>
      <c r="L18" s="54" t="inlineStr">
        <is>
          <t>G12</t>
        </is>
      </c>
      <c r="M18" s="54" t="inlineStr">
        <is>
          <t>BES</t>
        </is>
      </c>
      <c r="N18" s="54" t="inlineStr">
        <is>
          <t>ES</t>
        </is>
      </c>
      <c r="O18" s="54" t="inlineStr">
        <is>
          <t>G12</t>
        </is>
      </c>
      <c r="Q18" s="57" t="n"/>
    </row>
    <row r="19" ht="15.9" customFormat="1" customHeight="1" s="52">
      <c r="A19" s="8" t="n"/>
      <c r="B19" s="68">
        <f t="array" ref="B19">INDEX('BIE Creation Sheet'!L:L,INT((ROW()-2)/25)+2)</f>
        <v/>
      </c>
      <c r="C19" s="53">
        <f>CHOOSE(MOD(ROW()-2,26)+1,
"D20","D21","D28","D29","D81","E21","E31","E51","E61","E62","E73","E83","F01","F11","F12","G12","H41","E01","I21","I41","E91","E92","E23","E81","D22","D20")</f>
        <v/>
      </c>
      <c r="D19" s="54">
        <f>CHOOSE(MOD(ROW()-2,25)+1,
"BNF","BND","BNN","BNS","BIA",
"BUK","BIR","BBE","BNL","BNL",
"BFR","BIG","BSW","BIT","BIT",
"BES","BPT","BIE","BPL1","BCZ1",
"BAT","BAT","BUK","BIG","BND")</f>
        <v/>
      </c>
      <c r="E19" s="59">
        <f>"01"</f>
        <v/>
      </c>
      <c r="F19" s="54">
        <f>CHOOSE(MOD(ROW()-2,25)+1,
"D20","D21","D28","D29","D81",
"E21","E31","E51","E61","E62",
"E73","E83","F01","F11","F12",
"G12","H41","E01","E92","E92",
"E92","E92","E21","E83","D22")</f>
        <v/>
      </c>
      <c r="G19" s="48">
        <f t="array" ref="G19">INDEX('BIE Creation Sheet'!X:X,INT((ROW()-2)/25)+2)</f>
        <v/>
      </c>
      <c r="H19" s="64">
        <f t="array" ref="H19">INDEX('BIE Creation Sheet'!R:R,INT((ROW()-2)/25)+2)</f>
        <v/>
      </c>
      <c r="I19" s="54">
        <f>CHOOSE(MOD(ROW()-2,25)+1,
"FI","DK","SV","NO","DE",
"GB","IR","BE","NL","NL",
"FR","DE","CH","IT","IT",
"ES","PT","GB","PL","CZ",
"AT","AT","GB","DE","DK")</f>
        <v/>
      </c>
      <c r="J19" s="0">
        <f>0.01</f>
        <v/>
      </c>
      <c r="L19" s="54" t="inlineStr">
        <is>
          <t>H41</t>
        </is>
      </c>
      <c r="M19" s="54" t="inlineStr">
        <is>
          <t>BPT</t>
        </is>
      </c>
      <c r="N19" s="54" t="inlineStr">
        <is>
          <t>PT</t>
        </is>
      </c>
      <c r="O19" s="54" t="inlineStr">
        <is>
          <t>H41</t>
        </is>
      </c>
    </row>
    <row r="20" ht="15.9" customFormat="1" customHeight="1" s="52">
      <c r="A20" s="8" t="n"/>
      <c r="B20" s="68">
        <f t="array" ref="B20">INDEX('BIE Creation Sheet'!L:L,INT((ROW()-2)/25)+2)</f>
        <v/>
      </c>
      <c r="C20" s="53">
        <f>CHOOSE(MOD(ROW()-2,26)+1,
"D20","D21","D28","D29","D81","E21","E31","E51","E61","E62","E73","E83","F01","F11","F12","G12","H41","E01","I21","I41","E91","E92","E23","E81","D22","D20")</f>
        <v/>
      </c>
      <c r="D20" s="54">
        <f>CHOOSE(MOD(ROW()-2,25)+1,
"BNF","BND","BNN","BNS","BIA",
"BUK","BIR","BBE","BNL","BNL",
"BFR","BIG","BSW","BIT","BIT",
"BES","BPT","BIE","BPL1","BCZ1",
"BAT","BAT","BUK","BIG","BND")</f>
        <v/>
      </c>
      <c r="E20" s="59">
        <f>"01"</f>
        <v/>
      </c>
      <c r="F20" s="54">
        <f>CHOOSE(MOD(ROW()-2,25)+1,
"D20","D21","D28","D29","D81",
"E21","E31","E51","E61","E62",
"E73","E83","F01","F11","F12",
"G12","H41","E01","E92","E92",
"E92","E92","E21","E83","D22")</f>
        <v/>
      </c>
      <c r="G20" s="48">
        <f t="array" ref="G20">INDEX('BIE Creation Sheet'!X:X,INT((ROW()-2)/25)+2)</f>
        <v/>
      </c>
      <c r="H20" s="64">
        <f t="array" ref="H20">INDEX('BIE Creation Sheet'!R:R,INT((ROW()-2)/25)+2)</f>
        <v/>
      </c>
      <c r="I20" s="54">
        <f>CHOOSE(MOD(ROW()-2,25)+1,
"FI","DK","SV","NO","DE",
"GB","IR","BE","NL","NL",
"FR","DE","CH","IT","IT",
"ES","PT","GB","PL","CZ",
"AT","AT","GB","DE","DK")</f>
        <v/>
      </c>
      <c r="J20" s="0">
        <f>0.01</f>
        <v/>
      </c>
      <c r="L20" s="54" t="inlineStr">
        <is>
          <t>E01</t>
        </is>
      </c>
      <c r="M20" s="54" t="inlineStr">
        <is>
          <t>BIE</t>
        </is>
      </c>
      <c r="N20" s="54" t="inlineStr">
        <is>
          <t>GB</t>
        </is>
      </c>
      <c r="O20" s="54" t="inlineStr">
        <is>
          <t>E01</t>
        </is>
      </c>
    </row>
    <row r="21" ht="15.9" customFormat="1" customHeight="1" s="52">
      <c r="A21" s="8" t="n"/>
      <c r="B21" s="68">
        <f t="array" ref="B21">INDEX('BIE Creation Sheet'!L:L,INT((ROW()-2)/25)+2)</f>
        <v/>
      </c>
      <c r="C21" s="53">
        <f>CHOOSE(MOD(ROW()-2,26)+1,
"D20","D21","D28","D29","D81","E21","E31","E51","E61","E62","E73","E83","F01","F11","F12","G12","H41","E01","I21","I41","E91","E92","E23","E81","D22","D20")</f>
        <v/>
      </c>
      <c r="D21" s="54">
        <f>CHOOSE(MOD(ROW()-2,25)+1,
"BNF","BND","BNN","BNS","BIA",
"BUK","BIR","BBE","BNL","BNL",
"BFR","BIG","BSW","BIT","BIT",
"BES","BPT","BIE","BPL1","BCZ1",
"BAT","BAT","BUK","BIG","BND")</f>
        <v/>
      </c>
      <c r="E21" s="59">
        <f>"01"</f>
        <v/>
      </c>
      <c r="F21" s="54">
        <f>CHOOSE(MOD(ROW()-2,25)+1,
"D20","D21","D28","D29","D81",
"E21","E31","E51","E61","E62",
"E73","E83","F01","F11","F12",
"G12","H41","E01","E92","E92",
"E92","E92","E21","E83","D22")</f>
        <v/>
      </c>
      <c r="G21" s="48">
        <f t="array" ref="G21">INDEX('BIE Creation Sheet'!X:X,INT((ROW()-2)/25)+2)</f>
        <v/>
      </c>
      <c r="H21" s="64">
        <f t="array" ref="H21">INDEX('BIE Creation Sheet'!R:R,INT((ROW()-2)/25)+2)</f>
        <v/>
      </c>
      <c r="I21" s="54">
        <f>CHOOSE(MOD(ROW()-2,25)+1,
"FI","DK","SV","NO","DE",
"GB","IR","BE","NL","NL",
"FR","DE","CH","IT","IT",
"ES","PT","GB","PL","CZ",
"AT","AT","GB","DE","DK")</f>
        <v/>
      </c>
      <c r="J21" s="0">
        <f>0.01</f>
        <v/>
      </c>
      <c r="L21" s="54" t="inlineStr">
        <is>
          <t>I21</t>
        </is>
      </c>
      <c r="M21" s="54" t="inlineStr">
        <is>
          <t>BPL1</t>
        </is>
      </c>
      <c r="N21" s="54" t="inlineStr">
        <is>
          <t>PL</t>
        </is>
      </c>
      <c r="O21" s="54" t="inlineStr">
        <is>
          <t>E92</t>
        </is>
      </c>
    </row>
    <row r="22" ht="15.9" customFormat="1" customHeight="1" s="52">
      <c r="A22" s="8" t="n"/>
      <c r="B22" s="68">
        <f t="array" ref="B22">INDEX('BIE Creation Sheet'!L:L,INT((ROW()-2)/25)+2)</f>
        <v/>
      </c>
      <c r="C22" s="53">
        <f>CHOOSE(MOD(ROW()-2,26)+1,
"D20","D21","D28","D29","D81","E21","E31","E51","E61","E62","E73","E83","F01","F11","F12","G12","H41","E01","I21","I41","E91","E92","E23","E81","D22","D20")</f>
        <v/>
      </c>
      <c r="D22" s="54">
        <f>CHOOSE(MOD(ROW()-2,25)+1,
"BNF","BND","BNN","BNS","BIA",
"BUK","BIR","BBE","BNL","BNL",
"BFR","BIG","BSW","BIT","BIT",
"BES","BPT","BIE","BPL1","BCZ1",
"BAT","BAT","BUK","BIG","BND")</f>
        <v/>
      </c>
      <c r="E22" s="59">
        <f>"01"</f>
        <v/>
      </c>
      <c r="F22" s="54">
        <f>CHOOSE(MOD(ROW()-2,25)+1,
"D20","D21","D28","D29","D81",
"E21","E31","E51","E61","E62",
"E73","E83","F01","F11","F12",
"G12","H41","E01","E92","E92",
"E92","E92","E21","E83","D22")</f>
        <v/>
      </c>
      <c r="G22" s="48">
        <f t="array" ref="G22">INDEX('BIE Creation Sheet'!X:X,INT((ROW()-2)/25)+2)</f>
        <v/>
      </c>
      <c r="H22" s="64">
        <f t="array" ref="H22">INDEX('BIE Creation Sheet'!R:R,INT((ROW()-2)/25)+2)</f>
        <v/>
      </c>
      <c r="I22" s="54">
        <f>CHOOSE(MOD(ROW()-2,25)+1,
"FI","DK","SV","NO","DE",
"GB","IR","BE","NL","NL",
"FR","DE","CH","IT","IT",
"ES","PT","GB","PL","CZ",
"AT","AT","GB","DE","DK")</f>
        <v/>
      </c>
      <c r="J22" s="0">
        <f>0.01</f>
        <v/>
      </c>
      <c r="L22" s="54" t="inlineStr">
        <is>
          <t>I41</t>
        </is>
      </c>
      <c r="M22" s="54" t="inlineStr">
        <is>
          <t>BCZ1</t>
        </is>
      </c>
      <c r="N22" s="54" t="inlineStr">
        <is>
          <t>CZ</t>
        </is>
      </c>
      <c r="O22" s="54" t="inlineStr">
        <is>
          <t>E92</t>
        </is>
      </c>
    </row>
    <row r="23" ht="15.9" customFormat="1" customHeight="1" s="52">
      <c r="A23" s="8" t="n"/>
      <c r="B23" s="68">
        <f t="array" ref="B23">INDEX('BIE Creation Sheet'!L:L,INT((ROW()-2)/25)+2)</f>
        <v/>
      </c>
      <c r="C23" s="53">
        <f>CHOOSE(MOD(ROW()-2,26)+1,
"D20","D21","D28","D29","D81","E21","E31","E51","E61","E62","E73","E83","F01","F11","F12","G12","H41","E01","I21","I41","E91","E92","E23","E81","D22","D20")</f>
        <v/>
      </c>
      <c r="D23" s="54">
        <f>CHOOSE(MOD(ROW()-2,25)+1,
"BNF","BND","BNN","BNS","BIA",
"BUK","BIR","BBE","BNL","BNL",
"BFR","BIG","BSW","BIT","BIT",
"BES","BPT","BIE","BPL1","BCZ1",
"BAT","BAT","BUK","BIG","BND")</f>
        <v/>
      </c>
      <c r="E23" s="59">
        <f>"01"</f>
        <v/>
      </c>
      <c r="F23" s="54">
        <f>CHOOSE(MOD(ROW()-2,25)+1,
"D20","D21","D28","D29","D81",
"E21","E31","E51","E61","E62",
"E73","E83","F01","F11","F12",
"G12","H41","E01","E92","E92",
"E92","E92","E21","E83","D22")</f>
        <v/>
      </c>
      <c r="G23" s="48">
        <f t="array" ref="G23">INDEX('BIE Creation Sheet'!X:X,INT((ROW()-2)/25)+2)</f>
        <v/>
      </c>
      <c r="H23" s="64">
        <f t="array" ref="H23">INDEX('BIE Creation Sheet'!R:R,INT((ROW()-2)/25)+2)</f>
        <v/>
      </c>
      <c r="I23" s="54">
        <f>CHOOSE(MOD(ROW()-2,25)+1,
"FI","DK","SV","NO","DE",
"GB","IR","BE","NL","NL",
"FR","DE","CH","IT","IT",
"ES","PT","GB","PL","CZ",
"AT","AT","GB","DE","DK")</f>
        <v/>
      </c>
      <c r="J23" s="0">
        <f>0.01</f>
        <v/>
      </c>
      <c r="L23" s="54" t="inlineStr">
        <is>
          <t>E91</t>
        </is>
      </c>
      <c r="M23" s="54" t="inlineStr">
        <is>
          <t>BAT</t>
        </is>
      </c>
      <c r="N23" s="54" t="inlineStr">
        <is>
          <t>AT</t>
        </is>
      </c>
      <c r="O23" s="54" t="inlineStr">
        <is>
          <t>E92</t>
        </is>
      </c>
    </row>
    <row r="24" ht="15.9" customFormat="1" customHeight="1" s="52">
      <c r="A24" s="8" t="n"/>
      <c r="B24" s="68">
        <f t="array" ref="B24">INDEX('BIE Creation Sheet'!L:L,INT((ROW()-2)/25)+2)</f>
        <v/>
      </c>
      <c r="C24" s="53">
        <f>CHOOSE(MOD(ROW()-2,26)+1,
"D20","D21","D28","D29","D81","E21","E31","E51","E61","E62","E73","E83","F01","F11","F12","G12","H41","E01","I21","I41","E91","E92","E23","E81","D22","D20")</f>
        <v/>
      </c>
      <c r="D24" s="54">
        <f>CHOOSE(MOD(ROW()-2,25)+1,
"BNF","BND","BNN","BNS","BIA",
"BUK","BIR","BBE","BNL","BNL",
"BFR","BIG","BSW","BIT","BIT",
"BES","BPT","BIE","BPL1","BCZ1",
"BAT","BAT","BUK","BIG","BND")</f>
        <v/>
      </c>
      <c r="E24" s="59">
        <f>"01"</f>
        <v/>
      </c>
      <c r="F24" s="54">
        <f>CHOOSE(MOD(ROW()-2,25)+1,
"D20","D21","D28","D29","D81",
"E21","E31","E51","E61","E62",
"E73","E83","F01","F11","F12",
"G12","H41","E01","E92","E92",
"E92","E92","E21","E83","D22")</f>
        <v/>
      </c>
      <c r="G24" s="48">
        <f t="array" ref="G24">INDEX('BIE Creation Sheet'!X:X,INT((ROW()-2)/25)+2)</f>
        <v/>
      </c>
      <c r="H24" s="64">
        <f t="array" ref="H24">INDEX('BIE Creation Sheet'!R:R,INT((ROW()-2)/25)+2)</f>
        <v/>
      </c>
      <c r="I24" s="54">
        <f>CHOOSE(MOD(ROW()-2,25)+1,
"FI","DK","SV","NO","DE",
"GB","IR","BE","NL","NL",
"FR","DE","CH","IT","IT",
"ES","PT","GB","PL","CZ",
"AT","AT","GB","DE","DK")</f>
        <v/>
      </c>
      <c r="J24" s="0">
        <f>0.01</f>
        <v/>
      </c>
      <c r="L24" s="54" t="inlineStr">
        <is>
          <t>E92</t>
        </is>
      </c>
      <c r="M24" s="54" t="inlineStr">
        <is>
          <t>BAT</t>
        </is>
      </c>
      <c r="N24" s="54" t="inlineStr">
        <is>
          <t>AT</t>
        </is>
      </c>
      <c r="O24" s="54" t="inlineStr">
        <is>
          <t>E92</t>
        </is>
      </c>
    </row>
    <row r="25" ht="15.9" customFormat="1" customHeight="1" s="52">
      <c r="A25" s="8" t="n"/>
      <c r="B25" s="68">
        <f t="array" ref="B25">INDEX('BIE Creation Sheet'!L:L,INT((ROW()-2)/25)+2)</f>
        <v/>
      </c>
      <c r="C25" s="53">
        <f>CHOOSE(MOD(ROW()-2,26)+1,
"D20","D21","D28","D29","D81","E21","E31","E51","E61","E62","E73","E83","F01","F11","F12","G12","H41","E01","I21","I41","E91","E92","E23","E81","D22","D20")</f>
        <v/>
      </c>
      <c r="D25" s="54">
        <f>CHOOSE(MOD(ROW()-2,25)+1,
"BNF","BND","BNN","BNS","BIA",
"BUK","BIR","BBE","BNL","BNL",
"BFR","BIG","BSW","BIT","BIT",
"BES","BPT","BIE","BPL1","BCZ1",
"BAT","BAT","BUK","BIG","BND")</f>
        <v/>
      </c>
      <c r="E25" s="59">
        <f>"01"</f>
        <v/>
      </c>
      <c r="F25" s="54">
        <f>CHOOSE(MOD(ROW()-2,25)+1,
"D20","D21","D28","D29","D81",
"E21","E31","E51","E61","E62",
"E73","E83","F01","F11","F12",
"G12","H41","E01","E92","E92",
"E92","E92","E21","E83","D22")</f>
        <v/>
      </c>
      <c r="G25" s="48">
        <f t="array" ref="G25">INDEX('BIE Creation Sheet'!X:X,INT((ROW()-2)/25)+2)</f>
        <v/>
      </c>
      <c r="H25" s="64">
        <f t="array" ref="H25">INDEX('BIE Creation Sheet'!R:R,INT((ROW()-2)/25)+2)</f>
        <v/>
      </c>
      <c r="I25" s="54">
        <f>CHOOSE(MOD(ROW()-2,25)+1,
"FI","DK","SV","NO","DE",
"GB","IR","BE","NL","NL",
"FR","DE","CH","IT","IT",
"ES","PT","GB","PL","CZ",
"AT","AT","GB","DE","DK")</f>
        <v/>
      </c>
      <c r="J25" s="0">
        <f>0.01</f>
        <v/>
      </c>
      <c r="L25" s="54" t="inlineStr">
        <is>
          <t>E23</t>
        </is>
      </c>
      <c r="M25" s="54" t="inlineStr">
        <is>
          <t>BUK</t>
        </is>
      </c>
      <c r="N25" s="54" t="inlineStr">
        <is>
          <t>GB</t>
        </is>
      </c>
      <c r="O25" s="54" t="inlineStr">
        <is>
          <t>E21</t>
        </is>
      </c>
    </row>
    <row r="26" ht="15.9" customFormat="1" customHeight="1" s="52">
      <c r="A26" s="8" t="n"/>
      <c r="B26" s="68">
        <f t="array" ref="B26">INDEX('BIE Creation Sheet'!L:L,INT((ROW()-2)/25)+2)</f>
        <v/>
      </c>
      <c r="C26" s="53">
        <f>CHOOSE(MOD(ROW()-2,26)+1,
"D20","D21","D28","D29","D81","E21","E31","E51","E61","E62","E73","E83","F01","F11","F12","G12","H41","E01","I21","I41","E91","E92","E23","E81","D22","D20")</f>
        <v/>
      </c>
      <c r="D26" s="54">
        <f>CHOOSE(MOD(ROW()-2,25)+1,
"BNF","BND","BNN","BNS","BIA",
"BUK","BIR","BBE","BNL","BNL",
"BFR","BIG","BSW","BIT","BIT",
"BES","BPT","BIE","BPL1","BCZ1",
"BAT","BAT","BUK","BIG","BND")</f>
        <v/>
      </c>
      <c r="E26" s="59">
        <f>"01"</f>
        <v/>
      </c>
      <c r="F26" s="54">
        <f>CHOOSE(MOD(ROW()-2,25)+1,
"D20","D21","D28","D29","D81",
"E21","E31","E51","E61","E62",
"E73","E83","F01","F11","F12",
"G12","H41","E01","E92","E92",
"E92","E92","E21","E83","D22")</f>
        <v/>
      </c>
      <c r="G26" s="48">
        <f t="array" ref="G26">INDEX('BIE Creation Sheet'!X:X,INT((ROW()-2)/25)+2)</f>
        <v/>
      </c>
      <c r="H26" s="64">
        <f t="array" ref="H26">INDEX('BIE Creation Sheet'!R:R,INT((ROW()-2)/25)+2)</f>
        <v/>
      </c>
      <c r="I26" s="54">
        <f>CHOOSE(MOD(ROW()-2,25)+1,
"FI","DK","SV","NO","DE",
"GB","IR","BE","NL","NL",
"FR","DE","CH","IT","IT",
"ES","PT","GB","PL","CZ",
"AT","AT","GB","DE","DK")</f>
        <v/>
      </c>
      <c r="J26" s="0">
        <f>0.01</f>
        <v/>
      </c>
      <c r="L26" s="54" t="inlineStr">
        <is>
          <t>E81</t>
        </is>
      </c>
      <c r="M26" s="54" t="inlineStr">
        <is>
          <t>BIG</t>
        </is>
      </c>
      <c r="N26" s="54" t="inlineStr">
        <is>
          <t>DE</t>
        </is>
      </c>
      <c r="O26" s="54" t="inlineStr">
        <is>
          <t>E83</t>
        </is>
      </c>
    </row>
    <row r="27" ht="15.9" customFormat="1" customHeight="1" s="52">
      <c r="A27" s="8" t="n"/>
      <c r="B27" s="68">
        <f t="array" ref="B27">INDEX('BIE Creation Sheet'!L:L,INT((ROW()-2)/25)+2)</f>
        <v/>
      </c>
      <c r="C27" s="53">
        <f>CHOOSE(MOD(ROW()-2,26)+1,
"D20","D21","D28","D29","D81","E21","E31","E51","E61","E62","E73","E83","F01","F11","F12","G12","H41","E01","I21","I41","E91","E92","E23","E81","D22","D20")</f>
        <v/>
      </c>
      <c r="D27" s="54">
        <f>CHOOSE(MOD(ROW()-2,25)+1,
"BNF","BND","BNN","BNS","BIA",
"BUK","BIR","BBE","BNL","BNL",
"BFR","BIG","BSW","BIT","BIT",
"BES","BPT","BIE","BPL1","BCZ1",
"BAT","BAT","BUK","BIG","BND")</f>
        <v/>
      </c>
      <c r="E27" s="59">
        <f>"01"</f>
        <v/>
      </c>
      <c r="F27" s="54">
        <f>CHOOSE(MOD(ROW()-2,25)+1,
"D20","D21","D28","D29","D81",
"E21","E31","E51","E61","E62",
"E73","E83","F01","F11","F12",
"G12","H41","E01","E92","E92",
"E92","E92","E21","E83","D22")</f>
        <v/>
      </c>
      <c r="G27" s="48">
        <f t="array" ref="G27">INDEX('BIE Creation Sheet'!X:X,INT((ROW()-2)/25)+2)</f>
        <v/>
      </c>
      <c r="H27" s="64">
        <f t="array" ref="H27">INDEX('BIE Creation Sheet'!R:R,INT((ROW()-2)/25)+2)</f>
        <v/>
      </c>
      <c r="I27" s="54">
        <f>CHOOSE(MOD(ROW()-2,25)+1,
"FI","DK","SV","NO","DE",
"GB","IR","BE","NL","NL",
"FR","DE","CH","IT","IT",
"ES","PT","GB","PL","CZ",
"AT","AT","GB","DE","DK")</f>
        <v/>
      </c>
      <c r="J27" s="0">
        <f>0.01</f>
        <v/>
      </c>
      <c r="L27" s="54" t="inlineStr">
        <is>
          <t>D22</t>
        </is>
      </c>
      <c r="M27" s="54" t="inlineStr">
        <is>
          <t>BND</t>
        </is>
      </c>
      <c r="N27" s="54" t="inlineStr">
        <is>
          <t>DK</t>
        </is>
      </c>
      <c r="O27" s="54" t="inlineStr">
        <is>
          <t>D22</t>
        </is>
      </c>
    </row>
    <row r="28" ht="15.9" customFormat="1" customHeight="1" s="52">
      <c r="A28" s="8" t="n"/>
      <c r="B28" s="68">
        <f t="array" ref="B28">INDEX('BIE Creation Sheet'!L:L,INT((ROW()-2)/25)+2)</f>
        <v/>
      </c>
      <c r="C28" s="53">
        <f>CHOOSE(MOD(ROW()-2,26)+1,
"D20","D21","D28","D29","D81","E21","E31","E51","E61","E62","E73","E83","F01","F11","F12","G12","H41","E01","I21","I41","E91","E92","E23","E81","D22","D20")</f>
        <v/>
      </c>
      <c r="D28" s="54">
        <f>CHOOSE(MOD(ROW()-2,25)+1,
"BNF","BND","BNN","BNS","BIA",
"BUK","BIR","BBE","BNL","BNL",
"BFR","BIG","BSW","BIT","BIT",
"BES","BPT","BIE","BPL1","BCZ1",
"BAT","BAT","BUK","BIG","BND")</f>
        <v/>
      </c>
      <c r="E28" s="59">
        <f>"01"</f>
        <v/>
      </c>
      <c r="F28" s="54">
        <f>CHOOSE(MOD(ROW()-2,25)+1,
"D20","D21","D28","D29","D81",
"E21","E31","E51","E61","E62",
"E73","E83","F01","F11","F12",
"G12","H41","E01","E92","E92",
"E92","E92","E21","E83","D22")</f>
        <v/>
      </c>
      <c r="G28" s="48">
        <f t="array" ref="G28">INDEX('BIE Creation Sheet'!X:X,INT((ROW()-2)/25)+2)</f>
        <v/>
      </c>
      <c r="H28" s="64">
        <f t="array" ref="H28">INDEX('BIE Creation Sheet'!R:R,INT((ROW()-2)/25)+2)</f>
        <v/>
      </c>
      <c r="I28" s="54">
        <f>CHOOSE(MOD(ROW()-2,25)+1,
"FI","DK","SV","NO","DE",
"GB","IR","BE","NL","NL",
"FR","DE","CH","IT","IT",
"ES","PT","GB","PL","CZ",
"AT","AT","GB","DE","DK")</f>
        <v/>
      </c>
      <c r="J28" s="0">
        <f>0.01</f>
        <v/>
      </c>
    </row>
    <row r="29" ht="15.9" customFormat="1" customHeight="1" s="52">
      <c r="A29" s="8" t="n"/>
      <c r="B29" s="68">
        <f t="array" ref="B29">INDEX('BIE Creation Sheet'!L:L,INT((ROW()-2)/25)+2)</f>
        <v/>
      </c>
      <c r="C29" s="53">
        <f>CHOOSE(MOD(ROW()-2,26)+1,
"D20","D21","D28","D29","D81","E21","E31","E51","E61","E62","E73","E83","F01","F11","F12","G12","H41","E01","I21","I41","E91","E92","E23","E81","D22","D20")</f>
        <v/>
      </c>
      <c r="D29" s="54">
        <f>CHOOSE(MOD(ROW()-2,25)+1,
"BNF","BND","BNN","BNS","BIA",
"BUK","BIR","BBE","BNL","BNL",
"BFR","BIG","BSW","BIT","BIT",
"BES","BPT","BIE","BPL1","BCZ1",
"BAT","BAT","BUK","BIG","BND")</f>
        <v/>
      </c>
      <c r="E29" s="59">
        <f>"01"</f>
        <v/>
      </c>
      <c r="F29" s="54">
        <f>CHOOSE(MOD(ROW()-2,25)+1,
"D20","D21","D28","D29","D81",
"E21","E31","E51","E61","E62",
"E73","E83","F01","F11","F12",
"G12","H41","E01","E92","E92",
"E92","E92","E21","E83","D22")</f>
        <v/>
      </c>
      <c r="G29" s="48">
        <f t="array" ref="G29">INDEX('BIE Creation Sheet'!X:X,INT((ROW()-2)/25)+2)</f>
        <v/>
      </c>
      <c r="H29" s="64">
        <f t="array" ref="H29">INDEX('BIE Creation Sheet'!R:R,INT((ROW()-2)/25)+2)</f>
        <v/>
      </c>
      <c r="I29" s="54">
        <f>CHOOSE(MOD(ROW()-2,25)+1,
"FI","DK","SV","NO","DE",
"GB","IR","BE","NL","NL",
"FR","DE","CH","IT","IT",
"ES","PT","GB","PL","CZ",
"AT","AT","GB","DE","DK")</f>
        <v/>
      </c>
      <c r="J29" s="0">
        <f>0.01</f>
        <v/>
      </c>
    </row>
    <row r="30" ht="15.9" customFormat="1" customHeight="1" s="52">
      <c r="A30" s="8" t="n"/>
      <c r="B30" s="68">
        <f t="array" ref="B30">INDEX('BIE Creation Sheet'!L:L,INT((ROW()-2)/25)+2)</f>
        <v/>
      </c>
      <c r="C30" s="53">
        <f>CHOOSE(MOD(ROW()-2,26)+1,
"D20","D21","D28","D29","D81","E21","E31","E51","E61","E62","E73","E83","F01","F11","F12","G12","H41","E01","I21","I41","E91","E92","E23","E81","D22","D20")</f>
        <v/>
      </c>
      <c r="D30" s="54">
        <f>CHOOSE(MOD(ROW()-2,25)+1,
"BNF","BND","BNN","BNS","BIA",
"BUK","BIR","BBE","BNL","BNL",
"BFR","BIG","BSW","BIT","BIT",
"BES","BPT","BIE","BPL1","BCZ1",
"BAT","BAT","BUK","BIG","BND")</f>
        <v/>
      </c>
      <c r="E30" s="59">
        <f>"01"</f>
        <v/>
      </c>
      <c r="F30" s="54">
        <f>CHOOSE(MOD(ROW()-2,25)+1,
"D20","D21","D28","D29","D81",
"E21","E31","E51","E61","E62",
"E73","E83","F01","F11","F12",
"G12","H41","E01","E92","E92",
"E92","E92","E21","E83","D22")</f>
        <v/>
      </c>
      <c r="G30" s="48">
        <f t="array" ref="G30">INDEX('BIE Creation Sheet'!X:X,INT((ROW()-2)/25)+2)</f>
        <v/>
      </c>
      <c r="H30" s="64">
        <f t="array" ref="H30">INDEX('BIE Creation Sheet'!R:R,INT((ROW()-2)/25)+2)</f>
        <v/>
      </c>
      <c r="I30" s="54">
        <f>CHOOSE(MOD(ROW()-2,25)+1,
"FI","DK","SV","NO","DE",
"GB","IR","BE","NL","NL",
"FR","DE","CH","IT","IT",
"ES","PT","GB","PL","CZ",
"AT","AT","GB","DE","DK")</f>
        <v/>
      </c>
      <c r="J30" s="0">
        <f>0.01</f>
        <v/>
      </c>
    </row>
    <row r="31" ht="15.9" customFormat="1" customHeight="1" s="52">
      <c r="A31" s="8" t="n"/>
      <c r="B31" s="68">
        <f t="array" ref="B31">INDEX('BIE Creation Sheet'!L:L,INT((ROW()-2)/25)+2)</f>
        <v/>
      </c>
      <c r="C31" s="53">
        <f>CHOOSE(MOD(ROW()-2,26)+1,
"D20","D21","D28","D29","D81","E21","E31","E51","E61","E62","E73","E83","F01","F11","F12","G12","H41","E01","I21","I41","E91","E92","E23","E81","D22","D20")</f>
        <v/>
      </c>
      <c r="D31" s="54">
        <f>CHOOSE(MOD(ROW()-2,25)+1,
"BNF","BND","BNN","BNS","BIA",
"BUK","BIR","BBE","BNL","BNL",
"BFR","BIG","BSW","BIT","BIT",
"BES","BPT","BIE","BPL1","BCZ1",
"BAT","BAT","BUK","BIG","BND")</f>
        <v/>
      </c>
      <c r="E31" s="59">
        <f>"01"</f>
        <v/>
      </c>
      <c r="F31" s="54">
        <f>CHOOSE(MOD(ROW()-2,25)+1,
"D20","D21","D28","D29","D81",
"E21","E31","E51","E61","E62",
"E73","E83","F01","F11","F12",
"G12","H41","E01","E92","E92",
"E92","E92","E21","E83","D22")</f>
        <v/>
      </c>
      <c r="G31" s="48">
        <f t="array" ref="G31">INDEX('BIE Creation Sheet'!X:X,INT((ROW()-2)/25)+2)</f>
        <v/>
      </c>
      <c r="H31" s="64">
        <f t="array" ref="H31">INDEX('BIE Creation Sheet'!R:R,INT((ROW()-2)/25)+2)</f>
        <v/>
      </c>
      <c r="I31" s="54">
        <f>CHOOSE(MOD(ROW()-2,25)+1,
"FI","DK","SV","NO","DE",
"GB","IR","BE","NL","NL",
"FR","DE","CH","IT","IT",
"ES","PT","GB","PL","CZ",
"AT","AT","GB","DE","DK")</f>
        <v/>
      </c>
      <c r="J31" s="0">
        <f>0.01</f>
        <v/>
      </c>
    </row>
    <row r="32" ht="15.9" customFormat="1" customHeight="1" s="52">
      <c r="A32" s="8" t="n"/>
      <c r="B32" s="68">
        <f t="array" ref="B32">INDEX('BIE Creation Sheet'!L:L,INT((ROW()-2)/25)+2)</f>
        <v/>
      </c>
      <c r="C32" s="53">
        <f>CHOOSE(MOD(ROW()-2,26)+1,
"D20","D21","D28","D29","D81","E21","E31","E51","E61","E62","E73","E83","F01","F11","F12","G12","H41","E01","I21","I41","E91","E92","E23","E81","D22","D20")</f>
        <v/>
      </c>
      <c r="D32" s="54">
        <f>CHOOSE(MOD(ROW()-2,25)+1,
"BNF","BND","BNN","BNS","BIA",
"BUK","BIR","BBE","BNL","BNL",
"BFR","BIG","BSW","BIT","BIT",
"BES","BPT","BIE","BPL1","BCZ1",
"BAT","BAT","BUK","BIG","BND")</f>
        <v/>
      </c>
      <c r="E32" s="59">
        <f>"01"</f>
        <v/>
      </c>
      <c r="F32" s="54">
        <f>CHOOSE(MOD(ROW()-2,25)+1,
"D20","D21","D28","D29","D81",
"E21","E31","E51","E61","E62",
"E73","E83","F01","F11","F12",
"G12","H41","E01","E92","E92",
"E92","E92","E21","E83","D22")</f>
        <v/>
      </c>
      <c r="G32" s="48">
        <f t="array" ref="G32">INDEX('BIE Creation Sheet'!X:X,INT((ROW()-2)/25)+2)</f>
        <v/>
      </c>
      <c r="H32" s="64">
        <f t="array" ref="H32">INDEX('BIE Creation Sheet'!R:R,INT((ROW()-2)/25)+2)</f>
        <v/>
      </c>
      <c r="I32" s="54">
        <f>CHOOSE(MOD(ROW()-2,25)+1,
"FI","DK","SV","NO","DE",
"GB","IR","BE","NL","NL",
"FR","DE","CH","IT","IT",
"ES","PT","GB","PL","CZ",
"AT","AT","GB","DE","DK")</f>
        <v/>
      </c>
      <c r="J32" s="0">
        <f>0.01</f>
        <v/>
      </c>
    </row>
    <row r="33" ht="15.9" customFormat="1" customHeight="1" s="52">
      <c r="A33" s="8" t="n"/>
      <c r="B33" s="68">
        <f t="array" ref="B33">INDEX('BIE Creation Sheet'!L:L,INT((ROW()-2)/25)+2)</f>
        <v/>
      </c>
      <c r="C33" s="53">
        <f>CHOOSE(MOD(ROW()-2,26)+1,
"D20","D21","D28","D29","D81","E21","E31","E51","E61","E62","E73","E83","F01","F11","F12","G12","H41","E01","I21","I41","E91","E92","E23","E81","D22","D20")</f>
        <v/>
      </c>
      <c r="D33" s="54">
        <f>CHOOSE(MOD(ROW()-2,25)+1,
"BNF","BND","BNN","BNS","BIA",
"BUK","BIR","BBE","BNL","BNL",
"BFR","BIG","BSW","BIT","BIT",
"BES","BPT","BIE","BPL1","BCZ1",
"BAT","BAT","BUK","BIG","BND")</f>
        <v/>
      </c>
      <c r="E33" s="59">
        <f>"01"</f>
        <v/>
      </c>
      <c r="F33" s="54">
        <f>CHOOSE(MOD(ROW()-2,25)+1,
"D20","D21","D28","D29","D81",
"E21","E31","E51","E61","E62",
"E73","E83","F01","F11","F12",
"G12","H41","E01","E92","E92",
"E92","E92","E21","E83","D22")</f>
        <v/>
      </c>
      <c r="G33" s="48">
        <f t="array" ref="G33">INDEX('BIE Creation Sheet'!X:X,INT((ROW()-2)/25)+2)</f>
        <v/>
      </c>
      <c r="H33" s="64">
        <f t="array" ref="H33">INDEX('BIE Creation Sheet'!R:R,INT((ROW()-2)/25)+2)</f>
        <v/>
      </c>
      <c r="I33" s="54">
        <f>CHOOSE(MOD(ROW()-2,25)+1,
"FI","DK","SV","NO","DE",
"GB","IR","BE","NL","NL",
"FR","DE","CH","IT","IT",
"ES","PT","GB","PL","CZ",
"AT","AT","GB","DE","DK")</f>
        <v/>
      </c>
      <c r="J33" s="0">
        <f>0.01</f>
        <v/>
      </c>
    </row>
    <row r="34" ht="15.9" customFormat="1" customHeight="1" s="52">
      <c r="A34" s="8" t="n"/>
      <c r="B34" s="68">
        <f t="array" ref="B34">INDEX('BIE Creation Sheet'!L:L,INT((ROW()-2)/25)+2)</f>
        <v/>
      </c>
      <c r="C34" s="53">
        <f>CHOOSE(MOD(ROW()-2,26)+1,
"D20","D21","D28","D29","D81","E21","E31","E51","E61","E62","E73","E83","F01","F11","F12","G12","H41","E01","I21","I41","E91","E92","E23","E81","D22","D20")</f>
        <v/>
      </c>
      <c r="D34" s="54">
        <f>CHOOSE(MOD(ROW()-2,25)+1,
"BNF","BND","BNN","BNS","BIA",
"BUK","BIR","BBE","BNL","BNL",
"BFR","BIG","BSW","BIT","BIT",
"BES","BPT","BIE","BPL1","BCZ1",
"BAT","BAT","BUK","BIG","BND")</f>
        <v/>
      </c>
      <c r="E34" s="59">
        <f>"01"</f>
        <v/>
      </c>
      <c r="F34" s="54">
        <f>CHOOSE(MOD(ROW()-2,25)+1,
"D20","D21","D28","D29","D81",
"E21","E31","E51","E61","E62",
"E73","E83","F01","F11","F12",
"G12","H41","E01","E92","E92",
"E92","E92","E21","E83","D22")</f>
        <v/>
      </c>
      <c r="G34" s="48">
        <f t="array" ref="G34">INDEX('BIE Creation Sheet'!X:X,INT((ROW()-2)/25)+2)</f>
        <v/>
      </c>
      <c r="H34" s="64">
        <f t="array" ref="H34">INDEX('BIE Creation Sheet'!R:R,INT((ROW()-2)/25)+2)</f>
        <v/>
      </c>
      <c r="I34" s="54">
        <f>CHOOSE(MOD(ROW()-2,25)+1,
"FI","DK","SV","NO","DE",
"GB","IR","BE","NL","NL",
"FR","DE","CH","IT","IT",
"ES","PT","GB","PL","CZ",
"AT","AT","GB","DE","DK")</f>
        <v/>
      </c>
      <c r="J34" s="0">
        <f>0.01</f>
        <v/>
      </c>
    </row>
    <row r="35" ht="15.9" customFormat="1" customHeight="1" s="52">
      <c r="A35" s="8" t="n"/>
      <c r="B35" s="68">
        <f t="array" ref="B35">INDEX('BIE Creation Sheet'!L:L,INT((ROW()-2)/25)+2)</f>
        <v/>
      </c>
      <c r="C35" s="53">
        <f>CHOOSE(MOD(ROW()-2,26)+1,
"D20","D21","D28","D29","D81","E21","E31","E51","E61","E62","E73","E83","F01","F11","F12","G12","H41","E01","I21","I41","E91","E92","E23","E81","D22","D20")</f>
        <v/>
      </c>
      <c r="D35" s="54">
        <f>CHOOSE(MOD(ROW()-2,25)+1,
"BNF","BND","BNN","BNS","BIA",
"BUK","BIR","BBE","BNL","BNL",
"BFR","BIG","BSW","BIT","BIT",
"BES","BPT","BIE","BPL1","BCZ1",
"BAT","BAT","BUK","BIG","BND")</f>
        <v/>
      </c>
      <c r="E35" s="59">
        <f>"01"</f>
        <v/>
      </c>
      <c r="F35" s="54">
        <f>CHOOSE(MOD(ROW()-2,25)+1,
"D20","D21","D28","D29","D81",
"E21","E31","E51","E61","E62",
"E73","E83","F01","F11","F12",
"G12","H41","E01","E92","E92",
"E92","E92","E21","E83","D22")</f>
        <v/>
      </c>
      <c r="G35" s="48">
        <f t="array" ref="G35">INDEX('BIE Creation Sheet'!X:X,INT((ROW()-2)/25)+2)</f>
        <v/>
      </c>
      <c r="H35" s="64">
        <f t="array" ref="H35">INDEX('BIE Creation Sheet'!R:R,INT((ROW()-2)/25)+2)</f>
        <v/>
      </c>
      <c r="I35" s="54">
        <f>CHOOSE(MOD(ROW()-2,25)+1,
"FI","DK","SV","NO","DE",
"GB","IR","BE","NL","NL",
"FR","DE","CH","IT","IT",
"ES","PT","GB","PL","CZ",
"AT","AT","GB","DE","DK")</f>
        <v/>
      </c>
      <c r="J35" s="0">
        <f>0.01</f>
        <v/>
      </c>
    </row>
    <row r="36" ht="15.9" customFormat="1" customHeight="1" s="52">
      <c r="A36" s="8" t="n"/>
      <c r="B36" s="68">
        <f t="array" ref="B36">INDEX('BIE Creation Sheet'!L:L,INT((ROW()-2)/25)+2)</f>
        <v/>
      </c>
      <c r="C36" s="53">
        <f>CHOOSE(MOD(ROW()-2,26)+1,
"D20","D21","D28","D29","D81","E21","E31","E51","E61","E62","E73","E83","F01","F11","F12","G12","H41","E01","I21","I41","E91","E92","E23","E81","D22","D20")</f>
        <v/>
      </c>
      <c r="D36" s="54">
        <f>CHOOSE(MOD(ROW()-2,25)+1,
"BNF","BND","BNN","BNS","BIA",
"BUK","BIR","BBE","BNL","BNL",
"BFR","BIG","BSW","BIT","BIT",
"BES","BPT","BIE","BPL1","BCZ1",
"BAT","BAT","BUK","BIG","BND")</f>
        <v/>
      </c>
      <c r="E36" s="59">
        <f>"01"</f>
        <v/>
      </c>
      <c r="F36" s="54">
        <f>CHOOSE(MOD(ROW()-2,25)+1,
"D20","D21","D28","D29","D81",
"E21","E31","E51","E61","E62",
"E73","E83","F01","F11","F12",
"G12","H41","E01","E92","E92",
"E92","E92","E21","E83","D22")</f>
        <v/>
      </c>
      <c r="G36" s="48">
        <f t="array" ref="G36">INDEX('BIE Creation Sheet'!X:X,INT((ROW()-2)/25)+2)</f>
        <v/>
      </c>
      <c r="H36" s="64">
        <f t="array" ref="H36">INDEX('BIE Creation Sheet'!R:R,INT((ROW()-2)/25)+2)</f>
        <v/>
      </c>
      <c r="I36" s="54">
        <f>CHOOSE(MOD(ROW()-2,25)+1,
"FI","DK","SV","NO","DE",
"GB","IR","BE","NL","NL",
"FR","DE","CH","IT","IT",
"ES","PT","GB","PL","CZ",
"AT","AT","GB","DE","DK")</f>
        <v/>
      </c>
      <c r="J36" s="0">
        <f>0.01</f>
        <v/>
      </c>
    </row>
    <row r="37" ht="15.9" customFormat="1" customHeight="1" s="52">
      <c r="A37" s="8" t="n"/>
      <c r="B37" s="68">
        <f t="array" ref="B37">INDEX('BIE Creation Sheet'!L:L,INT((ROW()-2)/25)+2)</f>
        <v/>
      </c>
      <c r="C37" s="53">
        <f>CHOOSE(MOD(ROW()-2,26)+1,
"D20","D21","D28","D29","D81","E21","E31","E51","E61","E62","E73","E83","F01","F11","F12","G12","H41","E01","I21","I41","E91","E92","E23","E81","D22","D20")</f>
        <v/>
      </c>
      <c r="D37" s="54">
        <f>CHOOSE(MOD(ROW()-2,25)+1,
"BNF","BND","BNN","BNS","BIA",
"BUK","BIR","BBE","BNL","BNL",
"BFR","BIG","BSW","BIT","BIT",
"BES","BPT","BIE","BPL1","BCZ1",
"BAT","BAT","BUK","BIG","BND")</f>
        <v/>
      </c>
      <c r="E37" s="59">
        <f>"01"</f>
        <v/>
      </c>
      <c r="F37" s="54">
        <f>CHOOSE(MOD(ROW()-2,25)+1,
"D20","D21","D28","D29","D81",
"E21","E31","E51","E61","E62",
"E73","E83","F01","F11","F12",
"G12","H41","E01","E92","E92",
"E92","E92","E21","E83","D22")</f>
        <v/>
      </c>
      <c r="G37" s="48">
        <f t="array" ref="G37">INDEX('BIE Creation Sheet'!X:X,INT((ROW()-2)/25)+2)</f>
        <v/>
      </c>
      <c r="H37" s="64">
        <f t="array" ref="H37">INDEX('BIE Creation Sheet'!R:R,INT((ROW()-2)/25)+2)</f>
        <v/>
      </c>
      <c r="I37" s="54">
        <f>CHOOSE(MOD(ROW()-2,25)+1,
"FI","DK","SV","NO","DE",
"GB","IR","BE","NL","NL",
"FR","DE","CH","IT","IT",
"ES","PT","GB","PL","CZ",
"AT","AT","GB","DE","DK")</f>
        <v/>
      </c>
      <c r="J37" s="0">
        <f>0.01</f>
        <v/>
      </c>
    </row>
    <row r="38" ht="15.9" customFormat="1" customHeight="1" s="52">
      <c r="A38" s="8" t="n"/>
      <c r="B38" s="68">
        <f t="array" ref="B38">INDEX('BIE Creation Sheet'!L:L,INT((ROW()-2)/25)+2)</f>
        <v/>
      </c>
      <c r="C38" s="53">
        <f>CHOOSE(MOD(ROW()-2,26)+1,
"D20","D21","D28","D29","D81","E21","E31","E51","E61","E62","E73","E83","F01","F11","F12","G12","H41","E01","I21","I41","E91","E92","E23","E81","D22","D20")</f>
        <v/>
      </c>
      <c r="D38" s="54">
        <f>CHOOSE(MOD(ROW()-2,25)+1,
"BNF","BND","BNN","BNS","BIA",
"BUK","BIR","BBE","BNL","BNL",
"BFR","BIG","BSW","BIT","BIT",
"BES","BPT","BIE","BPL1","BCZ1",
"BAT","BAT","BUK","BIG","BND")</f>
        <v/>
      </c>
      <c r="E38" s="59">
        <f>"01"</f>
        <v/>
      </c>
      <c r="F38" s="54">
        <f>CHOOSE(MOD(ROW()-2,25)+1,
"D20","D21","D28","D29","D81",
"E21","E31","E51","E61","E62",
"E73","E83","F01","F11","F12",
"G12","H41","E01","E92","E92",
"E92","E92","E21","E83","D22")</f>
        <v/>
      </c>
      <c r="G38" s="48">
        <f t="array" ref="G38">INDEX('BIE Creation Sheet'!X:X,INT((ROW()-2)/25)+2)</f>
        <v/>
      </c>
      <c r="H38" s="64">
        <f t="array" ref="H38">INDEX('BIE Creation Sheet'!R:R,INT((ROW()-2)/25)+2)</f>
        <v/>
      </c>
      <c r="I38" s="54">
        <f>CHOOSE(MOD(ROW()-2,25)+1,
"FI","DK","SV","NO","DE",
"GB","IR","BE","NL","NL",
"FR","DE","CH","IT","IT",
"ES","PT","GB","PL","CZ",
"AT","AT","GB","DE","DK")</f>
        <v/>
      </c>
      <c r="J38" s="0">
        <f>0.01</f>
        <v/>
      </c>
    </row>
    <row r="39" ht="15.9" customHeight="1" s="1">
      <c r="A39" s="8" t="n"/>
      <c r="B39" s="68">
        <f t="array" ref="B39">INDEX('BIE Creation Sheet'!L:L,INT((ROW()-2)/25)+2)</f>
        <v/>
      </c>
      <c r="C39" s="53">
        <f>CHOOSE(MOD(ROW()-2,26)+1,
"D20","D21","D28","D29","D81","E21","E31","E51","E61","E62","E73","E83","F01","F11","F12","G12","H41","E01","I21","I41","E91","E92","E23","E81","D22","D20")</f>
        <v/>
      </c>
      <c r="D39" s="54">
        <f>CHOOSE(MOD(ROW()-2,25)+1,
"BNF","BND","BNN","BNS","BIA",
"BUK","BIR","BBE","BNL","BNL",
"BFR","BIG","BSW","BIT","BIT",
"BES","BPT","BIE","BPL1","BCZ1",
"BAT","BAT","BUK","BIG","BND")</f>
        <v/>
      </c>
      <c r="E39" s="59">
        <f>"01"</f>
        <v/>
      </c>
      <c r="F39" s="54">
        <f>CHOOSE(MOD(ROW()-2,25)+1,
"D20","D21","D28","D29","D81",
"E21","E31","E51","E61","E62",
"E73","E83","F01","F11","F12",
"G12","H41","E01","E92","E92",
"E92","E92","E21","E83","D22")</f>
        <v/>
      </c>
      <c r="G39" s="48">
        <f t="array" ref="G39">INDEX('BIE Creation Sheet'!X:X,INT((ROW()-2)/25)+2)</f>
        <v/>
      </c>
      <c r="H39" s="64">
        <f t="array" ref="H39">INDEX('BIE Creation Sheet'!R:R,INT((ROW()-2)/25)+2)</f>
        <v/>
      </c>
      <c r="I39" s="54">
        <f>CHOOSE(MOD(ROW()-2,25)+1,
"FI","DK","SV","NO","DE",
"GB","IR","BE","NL","NL",
"FR","DE","CH","IT","IT",
"ES","PT","GB","PL","CZ",
"AT","AT","GB","DE","DK")</f>
        <v/>
      </c>
      <c r="J39" s="0">
        <f>0.01</f>
        <v/>
      </c>
    </row>
    <row r="40" ht="15.9" customHeight="1" s="1">
      <c r="A40" s="8" t="n"/>
      <c r="B40" s="68">
        <f t="array" ref="B40">INDEX('BIE Creation Sheet'!L:L,INT((ROW()-2)/25)+2)</f>
        <v/>
      </c>
      <c r="C40" s="53">
        <f>CHOOSE(MOD(ROW()-2,26)+1,
"D20","D21","D28","D29","D81","E21","E31","E51","E61","E62","E73","E83","F01","F11","F12","G12","H41","E01","I21","I41","E91","E92","E23","E81","D22","D20")</f>
        <v/>
      </c>
      <c r="D40" s="54">
        <f>CHOOSE(MOD(ROW()-2,25)+1,
"BNF","BND","BNN","BNS","BIA",
"BUK","BIR","BBE","BNL","BNL",
"BFR","BIG","BSW","BIT","BIT",
"BES","BPT","BIE","BPL1","BCZ1",
"BAT","BAT","BUK","BIG","BND")</f>
        <v/>
      </c>
      <c r="E40" s="59">
        <f>"01"</f>
        <v/>
      </c>
      <c r="F40" s="54">
        <f>CHOOSE(MOD(ROW()-2,25)+1,
"D20","D21","D28","D29","D81",
"E21","E31","E51","E61","E62",
"E73","E83","F01","F11","F12",
"G12","H41","E01","E92","E92",
"E92","E92","E21","E83","D22")</f>
        <v/>
      </c>
      <c r="G40" s="48">
        <f t="array" ref="G40">INDEX('BIE Creation Sheet'!X:X,INT((ROW()-2)/25)+2)</f>
        <v/>
      </c>
      <c r="H40" s="64">
        <f t="array" ref="H40">INDEX('BIE Creation Sheet'!R:R,INT((ROW()-2)/25)+2)</f>
        <v/>
      </c>
      <c r="I40" s="54">
        <f>CHOOSE(MOD(ROW()-2,25)+1,
"FI","DK","SV","NO","DE",
"GB","IR","BE","NL","NL",
"FR","DE","CH","IT","IT",
"ES","PT","GB","PL","CZ",
"AT","AT","GB","DE","DK")</f>
        <v/>
      </c>
      <c r="J40" s="0">
        <f>0.01</f>
        <v/>
      </c>
    </row>
    <row r="41" ht="15.9" customHeight="1" s="1">
      <c r="A41" s="8" t="n"/>
      <c r="B41" s="68">
        <f t="array" ref="B41">INDEX('BIE Creation Sheet'!L:L,INT((ROW()-2)/25)+2)</f>
        <v/>
      </c>
      <c r="C41" s="53">
        <f>CHOOSE(MOD(ROW()-2,26)+1,
"D20","D21","D28","D29","D81","E21","E31","E51","E61","E62","E73","E83","F01","F11","F12","G12","H41","E01","I21","I41","E91","E92","E23","E81","D22","D20")</f>
        <v/>
      </c>
      <c r="D41" s="54">
        <f>CHOOSE(MOD(ROW()-2,25)+1,
"BNF","BND","BNN","BNS","BIA",
"BUK","BIR","BBE","BNL","BNL",
"BFR","BIG","BSW","BIT","BIT",
"BES","BPT","BIE","BPL1","BCZ1",
"BAT","BAT","BUK","BIG","BND")</f>
        <v/>
      </c>
      <c r="E41" s="59">
        <f>"01"</f>
        <v/>
      </c>
      <c r="F41" s="54">
        <f>CHOOSE(MOD(ROW()-2,25)+1,
"D20","D21","D28","D29","D81",
"E21","E31","E51","E61","E62",
"E73","E83","F01","F11","F12",
"G12","H41","E01","E92","E92",
"E92","E92","E21","E83","D22")</f>
        <v/>
      </c>
      <c r="G41" s="48">
        <f t="array" ref="G41">INDEX('BIE Creation Sheet'!X:X,INT((ROW()-2)/25)+2)</f>
        <v/>
      </c>
      <c r="H41" s="64">
        <f t="array" ref="H41">INDEX('BIE Creation Sheet'!R:R,INT((ROW()-2)/25)+2)</f>
        <v/>
      </c>
      <c r="I41" s="54">
        <f>CHOOSE(MOD(ROW()-2,25)+1,
"FI","DK","SV","NO","DE",
"GB","IR","BE","NL","NL",
"FR","DE","CH","IT","IT",
"ES","PT","GB","PL","CZ",
"AT","AT","GB","DE","DK")</f>
        <v/>
      </c>
      <c r="J41" s="0">
        <f>0.01</f>
        <v/>
      </c>
    </row>
    <row r="42" ht="15.9" customHeight="1" s="1">
      <c r="A42" s="8" t="n"/>
      <c r="B42" s="68">
        <f t="array" ref="B42">INDEX('BIE Creation Sheet'!L:L,INT((ROW()-2)/25)+2)</f>
        <v/>
      </c>
      <c r="C42" s="53">
        <f>CHOOSE(MOD(ROW()-2,26)+1,
"D20","D21","D28","D29","D81","E21","E31","E51","E61","E62","E73","E83","F01","F11","F12","G12","H41","E01","I21","I41","E91","E92","E23","E81","D22","D20")</f>
        <v/>
      </c>
      <c r="D42" s="54">
        <f>CHOOSE(MOD(ROW()-2,25)+1,
"BNF","BND","BNN","BNS","BIA",
"BUK","BIR","BBE","BNL","BNL",
"BFR","BIG","BSW","BIT","BIT",
"BES","BPT","BIE","BPL1","BCZ1",
"BAT","BAT","BUK","BIG","BND")</f>
        <v/>
      </c>
      <c r="E42" s="59">
        <f>"01"</f>
        <v/>
      </c>
      <c r="F42" s="54">
        <f>CHOOSE(MOD(ROW()-2,25)+1,
"D20","D21","D28","D29","D81",
"E21","E31","E51","E61","E62",
"E73","E83","F01","F11","F12",
"G12","H41","E01","E92","E92",
"E92","E92","E21","E83","D22")</f>
        <v/>
      </c>
      <c r="G42" s="48">
        <f t="array" ref="G42">INDEX('BIE Creation Sheet'!X:X,INT((ROW()-2)/25)+2)</f>
        <v/>
      </c>
      <c r="H42" s="64">
        <f t="array" ref="H42">INDEX('BIE Creation Sheet'!R:R,INT((ROW()-2)/25)+2)</f>
        <v/>
      </c>
      <c r="I42" s="54">
        <f>CHOOSE(MOD(ROW()-2,25)+1,
"FI","DK","SV","NO","DE",
"GB","IR","BE","NL","NL",
"FR","DE","CH","IT","IT",
"ES","PT","GB","PL","CZ",
"AT","AT","GB","DE","DK")</f>
        <v/>
      </c>
      <c r="J42" s="0">
        <f>0.01</f>
        <v/>
      </c>
    </row>
    <row r="43" ht="15.9" customHeight="1" s="1">
      <c r="A43" s="8" t="n"/>
      <c r="B43" s="68">
        <f t="array" ref="B43">INDEX('BIE Creation Sheet'!L:L,INT((ROW()-2)/25)+2)</f>
        <v/>
      </c>
      <c r="C43" s="53">
        <f>CHOOSE(MOD(ROW()-2,26)+1,
"D20","D21","D28","D29","D81","E21","E31","E51","E61","E62","E73","E83","F01","F11","F12","G12","H41","E01","I21","I41","E91","E92","E23","E81","D22","D20")</f>
        <v/>
      </c>
      <c r="D43" s="54">
        <f>CHOOSE(MOD(ROW()-2,25)+1,
"BNF","BND","BNN","BNS","BIA",
"BUK","BIR","BBE","BNL","BNL",
"BFR","BIG","BSW","BIT","BIT",
"BES","BPT","BIE","BPL1","BCZ1",
"BAT","BAT","BUK","BIG","BND")</f>
        <v/>
      </c>
      <c r="E43" s="59">
        <f>"01"</f>
        <v/>
      </c>
      <c r="F43" s="54">
        <f>CHOOSE(MOD(ROW()-2,25)+1,
"D20","D21","D28","D29","D81",
"E21","E31","E51","E61","E62",
"E73","E83","F01","F11","F12",
"G12","H41","E01","E92","E92",
"E92","E92","E21","E83","D22")</f>
        <v/>
      </c>
      <c r="G43" s="48">
        <f t="array" ref="G43">INDEX('BIE Creation Sheet'!X:X,INT((ROW()-2)/25)+2)</f>
        <v/>
      </c>
      <c r="H43" s="64">
        <f t="array" ref="H43">INDEX('BIE Creation Sheet'!R:R,INT((ROW()-2)/25)+2)</f>
        <v/>
      </c>
      <c r="I43" s="54">
        <f>CHOOSE(MOD(ROW()-2,25)+1,
"FI","DK","SV","NO","DE",
"GB","IR","BE","NL","NL",
"FR","DE","CH","IT","IT",
"ES","PT","GB","PL","CZ",
"AT","AT","GB","DE","DK")</f>
        <v/>
      </c>
      <c r="J43" s="0">
        <f>0.01</f>
        <v/>
      </c>
    </row>
    <row r="44" ht="15.9" customHeight="1" s="1">
      <c r="A44" s="8" t="n"/>
      <c r="B44" s="68">
        <f t="array" ref="B44">INDEX('BIE Creation Sheet'!L:L,INT((ROW()-2)/25)+2)</f>
        <v/>
      </c>
      <c r="C44" s="53">
        <f>CHOOSE(MOD(ROW()-2,26)+1,
"D20","D21","D28","D29","D81","E21","E31","E51","E61","E62","E73","E83","F01","F11","F12","G12","H41","E01","I21","I41","E91","E92","E23","E81","D22","D20")</f>
        <v/>
      </c>
      <c r="D44" s="54">
        <f>CHOOSE(MOD(ROW()-2,25)+1,
"BNF","BND","BNN","BNS","BIA",
"BUK","BIR","BBE","BNL","BNL",
"BFR","BIG","BSW","BIT","BIT",
"BES","BPT","BIE","BPL1","BCZ1",
"BAT","BAT","BUK","BIG","BND")</f>
        <v/>
      </c>
      <c r="E44" s="59">
        <f>"01"</f>
        <v/>
      </c>
      <c r="F44" s="54">
        <f>CHOOSE(MOD(ROW()-2,25)+1,
"D20","D21","D28","D29","D81",
"E21","E31","E51","E61","E62",
"E73","E83","F01","F11","F12",
"G12","H41","E01","E92","E92",
"E92","E92","E21","E83","D22")</f>
        <v/>
      </c>
      <c r="G44" s="48">
        <f t="array" ref="G44">INDEX('BIE Creation Sheet'!X:X,INT((ROW()-2)/25)+2)</f>
        <v/>
      </c>
      <c r="H44" s="64">
        <f t="array" ref="H44">INDEX('BIE Creation Sheet'!R:R,INT((ROW()-2)/25)+2)</f>
        <v/>
      </c>
      <c r="I44" s="54">
        <f>CHOOSE(MOD(ROW()-2,25)+1,
"FI","DK","SV","NO","DE",
"GB","IR","BE","NL","NL",
"FR","DE","CH","IT","IT",
"ES","PT","GB","PL","CZ",
"AT","AT","GB","DE","DK")</f>
        <v/>
      </c>
      <c r="J44" s="0">
        <f>0.01</f>
        <v/>
      </c>
    </row>
    <row r="45" ht="15.9" customHeight="1" s="1">
      <c r="A45" s="8" t="n"/>
      <c r="B45" s="68">
        <f t="array" ref="B45">INDEX('BIE Creation Sheet'!L:L,INT((ROW()-2)/25)+2)</f>
        <v/>
      </c>
      <c r="C45" s="53">
        <f>CHOOSE(MOD(ROW()-2,26)+1,
"D20","D21","D28","D29","D81","E21","E31","E51","E61","E62","E73","E83","F01","F11","F12","G12","H41","E01","I21","I41","E91","E92","E23","E81","D22","D20")</f>
        <v/>
      </c>
      <c r="D45" s="54">
        <f>CHOOSE(MOD(ROW()-2,25)+1,
"BNF","BND","BNN","BNS","BIA",
"BUK","BIR","BBE","BNL","BNL",
"BFR","BIG","BSW","BIT","BIT",
"BES","BPT","BIE","BPL1","BCZ1",
"BAT","BAT","BUK","BIG","BND")</f>
        <v/>
      </c>
      <c r="E45" s="59">
        <f>"01"</f>
        <v/>
      </c>
      <c r="F45" s="54">
        <f>CHOOSE(MOD(ROW()-2,25)+1,
"D20","D21","D28","D29","D81",
"E21","E31","E51","E61","E62",
"E73","E83","F01","F11","F12",
"G12","H41","E01","E92","E92",
"E92","E92","E21","E83","D22")</f>
        <v/>
      </c>
      <c r="G45" s="48">
        <f t="array" ref="G45">INDEX('BIE Creation Sheet'!X:X,INT((ROW()-2)/25)+2)</f>
        <v/>
      </c>
      <c r="H45" s="64">
        <f t="array" ref="H45">INDEX('BIE Creation Sheet'!R:R,INT((ROW()-2)/25)+2)</f>
        <v/>
      </c>
      <c r="I45" s="54">
        <f>CHOOSE(MOD(ROW()-2,25)+1,
"FI","DK","SV","NO","DE",
"GB","IR","BE","NL","NL",
"FR","DE","CH","IT","IT",
"ES","PT","GB","PL","CZ",
"AT","AT","GB","DE","DK")</f>
        <v/>
      </c>
      <c r="J45" s="0">
        <f>0.01</f>
        <v/>
      </c>
    </row>
    <row r="46" ht="15.9" customHeight="1" s="1">
      <c r="A46" s="8" t="n"/>
      <c r="B46" s="68">
        <f t="array" ref="B46">INDEX('BIE Creation Sheet'!L:L,INT((ROW()-2)/25)+2)</f>
        <v/>
      </c>
      <c r="C46" s="53">
        <f>CHOOSE(MOD(ROW()-2,26)+1,
"D20","D21","D28","D29","D81","E21","E31","E51","E61","E62","E73","E83","F01","F11","F12","G12","H41","E01","I21","I41","E91","E92","E23","E81","D22","D20")</f>
        <v/>
      </c>
      <c r="D46" s="54">
        <f>CHOOSE(MOD(ROW()-2,25)+1,
"BNF","BND","BNN","BNS","BIA",
"BUK","BIR","BBE","BNL","BNL",
"BFR","BIG","BSW","BIT","BIT",
"BES","BPT","BIE","BPL1","BCZ1",
"BAT","BAT","BUK","BIG","BND")</f>
        <v/>
      </c>
      <c r="E46" s="59">
        <f>"01"</f>
        <v/>
      </c>
      <c r="F46" s="54">
        <f>CHOOSE(MOD(ROW()-2,25)+1,
"D20","D21","D28","D29","D81",
"E21","E31","E51","E61","E62",
"E73","E83","F01","F11","F12",
"G12","H41","E01","E92","E92",
"E92","E92","E21","E83","D22")</f>
        <v/>
      </c>
      <c r="G46" s="48">
        <f t="array" ref="G46">INDEX('BIE Creation Sheet'!X:X,INT((ROW()-2)/25)+2)</f>
        <v/>
      </c>
      <c r="H46" s="64">
        <f t="array" ref="H46">INDEX('BIE Creation Sheet'!R:R,INT((ROW()-2)/25)+2)</f>
        <v/>
      </c>
      <c r="I46" s="54">
        <f>CHOOSE(MOD(ROW()-2,25)+1,
"FI","DK","SV","NO","DE",
"GB","IR","BE","NL","NL",
"FR","DE","CH","IT","IT",
"ES","PT","GB","PL","CZ",
"AT","AT","GB","DE","DK")</f>
        <v/>
      </c>
      <c r="J46" s="0">
        <f>0.01</f>
        <v/>
      </c>
    </row>
    <row r="47" ht="15.9" customHeight="1" s="1">
      <c r="A47" s="8" t="n"/>
      <c r="B47" s="68">
        <f t="array" ref="B47">INDEX('BIE Creation Sheet'!L:L,INT((ROW()-2)/25)+2)</f>
        <v/>
      </c>
      <c r="C47" s="53">
        <f>CHOOSE(MOD(ROW()-2,26)+1,
"D20","D21","D28","D29","D81","E21","E31","E51","E61","E62","E73","E83","F01","F11","F12","G12","H41","E01","I21","I41","E91","E92","E23","E81","D22","D20")</f>
        <v/>
      </c>
      <c r="D47" s="54">
        <f>CHOOSE(MOD(ROW()-2,25)+1,
"BNF","BND","BNN","BNS","BIA",
"BUK","BIR","BBE","BNL","BNL",
"BFR","BIG","BSW","BIT","BIT",
"BES","BPT","BIE","BPL1","BCZ1",
"BAT","BAT","BUK","BIG","BND")</f>
        <v/>
      </c>
      <c r="E47" s="59">
        <f>"01"</f>
        <v/>
      </c>
      <c r="F47" s="54">
        <f>CHOOSE(MOD(ROW()-2,25)+1,
"D20","D21","D28","D29","D81",
"E21","E31","E51","E61","E62",
"E73","E83","F01","F11","F12",
"G12","H41","E01","E92","E92",
"E92","E92","E21","E83","D22")</f>
        <v/>
      </c>
      <c r="G47" s="48">
        <f t="array" ref="G47">INDEX('BIE Creation Sheet'!X:X,INT((ROW()-2)/25)+2)</f>
        <v/>
      </c>
      <c r="H47" s="64">
        <f t="array" ref="H47">INDEX('BIE Creation Sheet'!R:R,INT((ROW()-2)/25)+2)</f>
        <v/>
      </c>
      <c r="I47" s="54">
        <f>CHOOSE(MOD(ROW()-2,25)+1,
"FI","DK","SV","NO","DE",
"GB","IR","BE","NL","NL",
"FR","DE","CH","IT","IT",
"ES","PT","GB","PL","CZ",
"AT","AT","GB","DE","DK")</f>
        <v/>
      </c>
      <c r="J47" s="0">
        <f>0.01</f>
        <v/>
      </c>
    </row>
    <row r="48" ht="15.9" customHeight="1" s="1">
      <c r="A48" s="8" t="n"/>
      <c r="B48" s="68">
        <f t="array" ref="B48">INDEX('BIE Creation Sheet'!L:L,INT((ROW()-2)/25)+2)</f>
        <v/>
      </c>
      <c r="C48" s="53">
        <f>CHOOSE(MOD(ROW()-2,26)+1,
"D20","D21","D28","D29","D81","E21","E31","E51","E61","E62","E73","E83","F01","F11","F12","G12","H41","E01","I21","I41","E91","E92","E23","E81","D22","D20")</f>
        <v/>
      </c>
      <c r="D48" s="54">
        <f>CHOOSE(MOD(ROW()-2,25)+1,
"BNF","BND","BNN","BNS","BIA",
"BUK","BIR","BBE","BNL","BNL",
"BFR","BIG","BSW","BIT","BIT",
"BES","BPT","BIE","BPL1","BCZ1",
"BAT","BAT","BUK","BIG","BND")</f>
        <v/>
      </c>
      <c r="E48" s="59">
        <f>"01"</f>
        <v/>
      </c>
      <c r="F48" s="54">
        <f>CHOOSE(MOD(ROW()-2,25)+1,
"D20","D21","D28","D29","D81",
"E21","E31","E51","E61","E62",
"E73","E83","F01","F11","F12",
"G12","H41","E01","E92","E92",
"E92","E92","E21","E83","D22")</f>
        <v/>
      </c>
      <c r="G48" s="48">
        <f t="array" ref="G48">INDEX('BIE Creation Sheet'!X:X,INT((ROW()-2)/25)+2)</f>
        <v/>
      </c>
      <c r="H48" s="64">
        <f t="array" ref="H48">INDEX('BIE Creation Sheet'!R:R,INT((ROW()-2)/25)+2)</f>
        <v/>
      </c>
      <c r="I48" s="54">
        <f>CHOOSE(MOD(ROW()-2,25)+1,
"FI","DK","SV","NO","DE",
"GB","IR","BE","NL","NL",
"FR","DE","CH","IT","IT",
"ES","PT","GB","PL","CZ",
"AT","AT","GB","DE","DK")</f>
        <v/>
      </c>
      <c r="J48" s="0">
        <f>0.01</f>
        <v/>
      </c>
    </row>
    <row r="49" ht="15.9" customHeight="1" s="1">
      <c r="A49" s="8" t="n"/>
      <c r="B49" s="68">
        <f t="array" ref="B49">INDEX('BIE Creation Sheet'!L:L,INT((ROW()-2)/25)+2)</f>
        <v/>
      </c>
      <c r="C49" s="53">
        <f>CHOOSE(MOD(ROW()-2,26)+1,
"D20","D21","D28","D29","D81","E21","E31","E51","E61","E62","E73","E83","F01","F11","F12","G12","H41","E01","I21","I41","E91","E92","E23","E81","D22","D20")</f>
        <v/>
      </c>
      <c r="D49" s="54">
        <f>CHOOSE(MOD(ROW()-2,25)+1,
"BNF","BND","BNN","BNS","BIA",
"BUK","BIR","BBE","BNL","BNL",
"BFR","BIG","BSW","BIT","BIT",
"BES","BPT","BIE","BPL1","BCZ1",
"BAT","BAT","BUK","BIG","BND")</f>
        <v/>
      </c>
      <c r="E49" s="59">
        <f>"01"</f>
        <v/>
      </c>
      <c r="F49" s="54">
        <f>CHOOSE(MOD(ROW()-2,25)+1,
"D20","D21","D28","D29","D81",
"E21","E31","E51","E61","E62",
"E73","E83","F01","F11","F12",
"G12","H41","E01","E92","E92",
"E92","E92","E21","E83","D22")</f>
        <v/>
      </c>
      <c r="G49" s="48">
        <f t="array" ref="G49">INDEX('BIE Creation Sheet'!X:X,INT((ROW()-2)/25)+2)</f>
        <v/>
      </c>
      <c r="H49" s="64">
        <f t="array" ref="H49">INDEX('BIE Creation Sheet'!R:R,INT((ROW()-2)/25)+2)</f>
        <v/>
      </c>
      <c r="I49" s="54">
        <f>CHOOSE(MOD(ROW()-2,25)+1,
"FI","DK","SV","NO","DE",
"GB","IR","BE","NL","NL",
"FR","DE","CH","IT","IT",
"ES","PT","GB","PL","CZ",
"AT","AT","GB","DE","DK")</f>
        <v/>
      </c>
      <c r="J49" s="0">
        <f>0.01</f>
        <v/>
      </c>
    </row>
    <row r="50" ht="15.9" customHeight="1" s="1">
      <c r="A50" s="8" t="n"/>
      <c r="B50" s="68">
        <f t="array" ref="B50">INDEX('BIE Creation Sheet'!L:L,INT((ROW()-2)/25)+2)</f>
        <v/>
      </c>
      <c r="C50" s="53">
        <f>CHOOSE(MOD(ROW()-2,26)+1,
"D20","D21","D28","D29","D81","E21","E31","E51","E61","E62","E73","E83","F01","F11","F12","G12","H41","E01","I21","I41","E91","E92","E23","E81","D22","D20")</f>
        <v/>
      </c>
      <c r="D50" s="54">
        <f>CHOOSE(MOD(ROW()-2,25)+1,
"BNF","BND","BNN","BNS","BIA",
"BUK","BIR","BBE","BNL","BNL",
"BFR","BIG","BSW","BIT","BIT",
"BES","BPT","BIE","BPL1","BCZ1",
"BAT","BAT","BUK","BIG","BND")</f>
        <v/>
      </c>
      <c r="E50" s="59">
        <f>"01"</f>
        <v/>
      </c>
      <c r="F50" s="54">
        <f>CHOOSE(MOD(ROW()-2,25)+1,
"D20","D21","D28","D29","D81",
"E21","E31","E51","E61","E62",
"E73","E83","F01","F11","F12",
"G12","H41","E01","E92","E92",
"E92","E92","E21","E83","D22")</f>
        <v/>
      </c>
      <c r="G50" s="48">
        <f t="array" ref="G50">INDEX('BIE Creation Sheet'!X:X,INT((ROW()-2)/25)+2)</f>
        <v/>
      </c>
      <c r="H50" s="64">
        <f t="array" ref="H50">INDEX('BIE Creation Sheet'!R:R,INT((ROW()-2)/25)+2)</f>
        <v/>
      </c>
      <c r="I50" s="54">
        <f>CHOOSE(MOD(ROW()-2,25)+1,
"FI","DK","SV","NO","DE",
"GB","IR","BE","NL","NL",
"FR","DE","CH","IT","IT",
"ES","PT","GB","PL","CZ",
"AT","AT","GB","DE","DK")</f>
        <v/>
      </c>
      <c r="J50" s="0">
        <f>0.01</f>
        <v/>
      </c>
    </row>
    <row r="51" ht="15.9" customHeight="1" s="1">
      <c r="A51" s="8" t="n"/>
      <c r="B51" s="68">
        <f t="array" ref="B51">INDEX('BIE Creation Sheet'!L:L,INT((ROW()-2)/25)+2)</f>
        <v/>
      </c>
      <c r="C51" s="53">
        <f>CHOOSE(MOD(ROW()-2,26)+1,
"D20","D21","D28","D29","D81","E21","E31","E51","E61","E62","E73","E83","F01","F11","F12","G12","H41","E01","I21","I41","E91","E92","E23","E81","D22","D20")</f>
        <v/>
      </c>
      <c r="D51" s="54">
        <f>CHOOSE(MOD(ROW()-2,25)+1,
"BNF","BND","BNN","BNS","BIA",
"BUK","BIR","BBE","BNL","BNL",
"BFR","BIG","BSW","BIT","BIT",
"BES","BPT","BIE","BPL1","BCZ1",
"BAT","BAT","BUK","BIG","BND")</f>
        <v/>
      </c>
      <c r="E51" s="59">
        <f>"01"</f>
        <v/>
      </c>
      <c r="F51" s="54">
        <f>CHOOSE(MOD(ROW()-2,25)+1,
"D20","D21","D28","D29","D81",
"E21","E31","E51","E61","E62",
"E73","E83","F01","F11","F12",
"G12","H41","E01","E92","E92",
"E92","E92","E21","E83","D22")</f>
        <v/>
      </c>
      <c r="G51" s="48">
        <f t="array" ref="G51">INDEX('BIE Creation Sheet'!X:X,INT((ROW()-2)/25)+2)</f>
        <v/>
      </c>
      <c r="H51" s="64">
        <f t="array" ref="H51">INDEX('BIE Creation Sheet'!R:R,INT((ROW()-2)/25)+2)</f>
        <v/>
      </c>
      <c r="I51" s="54">
        <f>CHOOSE(MOD(ROW()-2,25)+1,
"FI","DK","SV","NO","DE",
"GB","IR","BE","NL","NL",
"FR","DE","CH","IT","IT",
"ES","PT","GB","PL","CZ",
"AT","AT","GB","DE","DK")</f>
        <v/>
      </c>
      <c r="J51" s="0">
        <f>0.01</f>
        <v/>
      </c>
    </row>
    <row r="52" ht="15.9" customHeight="1" s="1">
      <c r="A52" s="8" t="n"/>
      <c r="B52" s="68">
        <f t="array" ref="B52">INDEX('BIE Creation Sheet'!L:L,INT((ROW()-2)/25)+2)</f>
        <v/>
      </c>
      <c r="C52" s="53">
        <f>CHOOSE(MOD(ROW()-2,26)+1,
"D20","D21","D28","D29","D81","E21","E31","E51","E61","E62","E73","E83","F01","F11","F12","G12","H41","E01","I21","I41","E91","E92","E23","E81","D22","D20")</f>
        <v/>
      </c>
      <c r="D52" s="54">
        <f>CHOOSE(MOD(ROW()-2,25)+1,
"BNF","BND","BNN","BNS","BIA",
"BUK","BIR","BBE","BNL","BNL",
"BFR","BIG","BSW","BIT","BIT",
"BES","BPT","BIE","BPL1","BCZ1",
"BAT","BAT","BUK","BIG","BND")</f>
        <v/>
      </c>
      <c r="E52" s="59">
        <f>"01"</f>
        <v/>
      </c>
      <c r="F52" s="54">
        <f>CHOOSE(MOD(ROW()-2,25)+1,
"D20","D21","D28","D29","D81",
"E21","E31","E51","E61","E62",
"E73","E83","F01","F11","F12",
"G12","H41","E01","E92","E92",
"E92","E92","E21","E83","D22")</f>
        <v/>
      </c>
      <c r="G52" s="48">
        <f t="array" ref="G52">INDEX('BIE Creation Sheet'!X:X,INT((ROW()-2)/25)+2)</f>
        <v/>
      </c>
      <c r="H52" s="64">
        <f t="array" ref="H52">INDEX('BIE Creation Sheet'!R:R,INT((ROW()-2)/25)+2)</f>
        <v/>
      </c>
      <c r="I52" s="54">
        <f>CHOOSE(MOD(ROW()-2,25)+1,
"FI","DK","SV","NO","DE",
"GB","IR","BE","NL","NL",
"FR","DE","CH","IT","IT",
"ES","PT","GB","PL","CZ",
"AT","AT","GB","DE","DK")</f>
        <v/>
      </c>
      <c r="J52" s="0">
        <f>0.01</f>
        <v/>
      </c>
    </row>
    <row r="53" ht="15.9" customHeight="1" s="1">
      <c r="A53" s="8" t="n"/>
      <c r="B53" s="68">
        <f t="array" ref="B53">INDEX('BIE Creation Sheet'!L:L,INT((ROW()-2)/25)+2)</f>
        <v/>
      </c>
      <c r="C53" s="53">
        <f>CHOOSE(MOD(ROW()-2,26)+1,
"D20","D21","D28","D29","D81","E21","E31","E51","E61","E62","E73","E83","F01","F11","F12","G12","H41","E01","I21","I41","E91","E92","E23","E81","D22","D20")</f>
        <v/>
      </c>
      <c r="D53" s="54">
        <f>CHOOSE(MOD(ROW()-2,25)+1,
"BNF","BND","BNN","BNS","BIA",
"BUK","BIR","BBE","BNL","BNL",
"BFR","BIG","BSW","BIT","BIT",
"BES","BPT","BIE","BPL1","BCZ1",
"BAT","BAT","BUK","BIG","BND")</f>
        <v/>
      </c>
      <c r="E53" s="59">
        <f>"01"</f>
        <v/>
      </c>
      <c r="F53" s="54">
        <f>CHOOSE(MOD(ROW()-2,25)+1,
"D20","D21","D28","D29","D81",
"E21","E31","E51","E61","E62",
"E73","E83","F01","F11","F12",
"G12","H41","E01","E92","E92",
"E92","E92","E21","E83","D22")</f>
        <v/>
      </c>
      <c r="G53" s="48">
        <f t="array" ref="G53">INDEX('BIE Creation Sheet'!X:X,INT((ROW()-2)/25)+2)</f>
        <v/>
      </c>
      <c r="H53" s="64">
        <f t="array" ref="H53">INDEX('BIE Creation Sheet'!R:R,INT((ROW()-2)/25)+2)</f>
        <v/>
      </c>
      <c r="I53" s="54">
        <f>CHOOSE(MOD(ROW()-2,25)+1,
"FI","DK","SV","NO","DE",
"GB","IR","BE","NL","NL",
"FR","DE","CH","IT","IT",
"ES","PT","GB","PL","CZ",
"AT","AT","GB","DE","DK")</f>
        <v/>
      </c>
      <c r="J53" s="0">
        <f>0.01</f>
        <v/>
      </c>
    </row>
    <row r="54" ht="15.9" customHeight="1" s="1">
      <c r="A54" s="8" t="n"/>
      <c r="B54" s="68">
        <f t="array" ref="B54">INDEX('BIE Creation Sheet'!L:L,INT((ROW()-2)/25)+2)</f>
        <v/>
      </c>
      <c r="C54" s="53">
        <f>CHOOSE(MOD(ROW()-2,26)+1,
"D20","D21","D28","D29","D81","E21","E31","E51","E61","E62","E73","E83","F01","F11","F12","G12","H41","E01","I21","I41","E91","E92","E23","E81","D22","D20")</f>
        <v/>
      </c>
      <c r="D54" s="54">
        <f>CHOOSE(MOD(ROW()-2,25)+1,
"BNF","BND","BNN","BNS","BIA",
"BUK","BIR","BBE","BNL","BNL",
"BFR","BIG","BSW","BIT","BIT",
"BES","BPT","BIE","BPL1","BCZ1",
"BAT","BAT","BUK","BIG","BND")</f>
        <v/>
      </c>
      <c r="E54" s="59">
        <f>"01"</f>
        <v/>
      </c>
      <c r="F54" s="54">
        <f>CHOOSE(MOD(ROW()-2,25)+1,
"D20","D21","D28","D29","D81",
"E21","E31","E51","E61","E62",
"E73","E83","F01","F11","F12",
"G12","H41","E01","E92","E92",
"E92","E92","E21","E83","D22")</f>
        <v/>
      </c>
      <c r="G54" s="48">
        <f t="array" ref="G54">INDEX('BIE Creation Sheet'!X:X,INT((ROW()-2)/25)+2)</f>
        <v/>
      </c>
      <c r="H54" s="64">
        <f t="array" ref="H54">INDEX('BIE Creation Sheet'!R:R,INT((ROW()-2)/25)+2)</f>
        <v/>
      </c>
      <c r="I54" s="54">
        <f>CHOOSE(MOD(ROW()-2,25)+1,
"FI","DK","SV","NO","DE",
"GB","IR","BE","NL","NL",
"FR","DE","CH","IT","IT",
"ES","PT","GB","PL","CZ",
"AT","AT","GB","DE","DK")</f>
        <v/>
      </c>
      <c r="J54" s="0">
        <f>0.01</f>
        <v/>
      </c>
    </row>
    <row r="55" ht="15.9" customHeight="1" s="1">
      <c r="A55" s="8" t="n"/>
      <c r="B55" s="68">
        <f t="array" ref="B55">INDEX('BIE Creation Sheet'!L:L,INT((ROW()-2)/25)+2)</f>
        <v/>
      </c>
      <c r="C55" s="53">
        <f>CHOOSE(MOD(ROW()-2,26)+1,
"D20","D21","D28","D29","D81","E21","E31","E51","E61","E62","E73","E83","F01","F11","F12","G12","H41","E01","I21","I41","E91","E92","E23","E81","D22","D20")</f>
        <v/>
      </c>
      <c r="D55" s="54">
        <f>CHOOSE(MOD(ROW()-2,25)+1,
"BNF","BND","BNN","BNS","BIA",
"BUK","BIR","BBE","BNL","BNL",
"BFR","BIG","BSW","BIT","BIT",
"BES","BPT","BIE","BPL1","BCZ1",
"BAT","BAT","BUK","BIG","BND")</f>
        <v/>
      </c>
      <c r="E55" s="59">
        <f>"01"</f>
        <v/>
      </c>
      <c r="F55" s="54">
        <f>CHOOSE(MOD(ROW()-2,25)+1,
"D20","D21","D28","D29","D81",
"E21","E31","E51","E61","E62",
"E73","E83","F01","F11","F12",
"G12","H41","E01","E92","E92",
"E92","E92","E21","E83","D22")</f>
        <v/>
      </c>
      <c r="G55" s="48">
        <f t="array" ref="G55">INDEX('BIE Creation Sheet'!X:X,INT((ROW()-2)/25)+2)</f>
        <v/>
      </c>
      <c r="H55" s="64">
        <f t="array" ref="H55">INDEX('BIE Creation Sheet'!R:R,INT((ROW()-2)/25)+2)</f>
        <v/>
      </c>
      <c r="I55" s="54">
        <f>CHOOSE(MOD(ROW()-2,25)+1,
"FI","DK","SV","NO","DE",
"GB","IR","BE","NL","NL",
"FR","DE","CH","IT","IT",
"ES","PT","GB","PL","CZ",
"AT","AT","GB","DE","DK")</f>
        <v/>
      </c>
      <c r="J55" s="0">
        <f>0.01</f>
        <v/>
      </c>
    </row>
    <row r="56" ht="15.9" customHeight="1" s="1">
      <c r="A56" s="8" t="n"/>
      <c r="B56" s="68">
        <f t="array" ref="B56">INDEX('BIE Creation Sheet'!L:L,INT((ROW()-2)/25)+2)</f>
        <v/>
      </c>
      <c r="C56" s="53">
        <f>CHOOSE(MOD(ROW()-2,26)+1,
"D20","D21","D28","D29","D81","E21","E31","E51","E61","E62","E73","E83","F01","F11","F12","G12","H41","E01","I21","I41","E91","E92","E23","E81","D22","D20")</f>
        <v/>
      </c>
      <c r="D56" s="54">
        <f>CHOOSE(MOD(ROW()-2,25)+1,
"BNF","BND","BNN","BNS","BIA",
"BUK","BIR","BBE","BNL","BNL",
"BFR","BIG","BSW","BIT","BIT",
"BES","BPT","BIE","BPL1","BCZ1",
"BAT","BAT","BUK","BIG","BND")</f>
        <v/>
      </c>
      <c r="E56" s="59">
        <f>"01"</f>
        <v/>
      </c>
      <c r="F56" s="54">
        <f>CHOOSE(MOD(ROW()-2,25)+1,
"D20","D21","D28","D29","D81",
"E21","E31","E51","E61","E62",
"E73","E83","F01","F11","F12",
"G12","H41","E01","E92","E92",
"E92","E92","E21","E83","D22")</f>
        <v/>
      </c>
      <c r="G56" s="48">
        <f t="array" ref="G56">INDEX('BIE Creation Sheet'!X:X,INT((ROW()-2)/25)+2)</f>
        <v/>
      </c>
      <c r="H56" s="64">
        <f t="array" ref="H56">INDEX('BIE Creation Sheet'!R:R,INT((ROW()-2)/25)+2)</f>
        <v/>
      </c>
      <c r="I56" s="54">
        <f>CHOOSE(MOD(ROW()-2,25)+1,
"FI","DK","SV","NO","DE",
"GB","IR","BE","NL","NL",
"FR","DE","CH","IT","IT",
"ES","PT","GB","PL","CZ",
"AT","AT","GB","DE","DK")</f>
        <v/>
      </c>
      <c r="J56" s="0">
        <f>0.01</f>
        <v/>
      </c>
    </row>
    <row r="57" ht="15.9" customHeight="1" s="1">
      <c r="A57" s="8" t="n"/>
      <c r="B57" s="68">
        <f t="array" ref="B57">INDEX('BIE Creation Sheet'!L:L,INT((ROW()-2)/25)+2)</f>
        <v/>
      </c>
      <c r="C57" s="53">
        <f>CHOOSE(MOD(ROW()-2,26)+1,
"D20","D21","D28","D29","D81","E21","E31","E51","E61","E62","E73","E83","F01","F11","F12","G12","H41","E01","I21","I41","E91","E92","E23","E81","D22","D20")</f>
        <v/>
      </c>
      <c r="D57" s="54">
        <f>CHOOSE(MOD(ROW()-2,25)+1,
"BNF","BND","BNN","BNS","BIA",
"BUK","BIR","BBE","BNL","BNL",
"BFR","BIG","BSW","BIT","BIT",
"BES","BPT","BIE","BPL1","BCZ1",
"BAT","BAT","BUK","BIG","BND")</f>
        <v/>
      </c>
      <c r="E57" s="59">
        <f>"01"</f>
        <v/>
      </c>
      <c r="F57" s="54">
        <f>CHOOSE(MOD(ROW()-2,25)+1,
"D20","D21","D28","D29","D81",
"E21","E31","E51","E61","E62",
"E73","E83","F01","F11","F12",
"G12","H41","E01","E92","E92",
"E92","E92","E21","E83","D22")</f>
        <v/>
      </c>
      <c r="G57" s="48">
        <f t="array" ref="G57">INDEX('BIE Creation Sheet'!X:X,INT((ROW()-2)/25)+2)</f>
        <v/>
      </c>
      <c r="H57" s="64">
        <f t="array" ref="H57">INDEX('BIE Creation Sheet'!R:R,INT((ROW()-2)/25)+2)</f>
        <v/>
      </c>
      <c r="I57" s="54">
        <f>CHOOSE(MOD(ROW()-2,25)+1,
"FI","DK","SV","NO","DE",
"GB","IR","BE","NL","NL",
"FR","DE","CH","IT","IT",
"ES","PT","GB","PL","CZ",
"AT","AT","GB","DE","DK")</f>
        <v/>
      </c>
      <c r="J57" s="0">
        <f>0.01</f>
        <v/>
      </c>
    </row>
    <row r="58" ht="15.9" customHeight="1" s="1">
      <c r="A58" s="8" t="n"/>
      <c r="B58" s="68">
        <f t="array" ref="B58">INDEX('BIE Creation Sheet'!L:L,INT((ROW()-2)/25)+2)</f>
        <v/>
      </c>
      <c r="C58" s="53">
        <f>CHOOSE(MOD(ROW()-2,26)+1,
"D20","D21","D28","D29","D81","E21","E31","E51","E61","E62","E73","E83","F01","F11","F12","G12","H41","E01","I21","I41","E91","E92","E23","E81","D22","D20")</f>
        <v/>
      </c>
      <c r="D58" s="54">
        <f>CHOOSE(MOD(ROW()-2,25)+1,
"BNF","BND","BNN","BNS","BIA",
"BUK","BIR","BBE","BNL","BNL",
"BFR","BIG","BSW","BIT","BIT",
"BES","BPT","BIE","BPL1","BCZ1",
"BAT","BAT","BUK","BIG","BND")</f>
        <v/>
      </c>
      <c r="E58" s="59">
        <f>"01"</f>
        <v/>
      </c>
      <c r="F58" s="54">
        <f>CHOOSE(MOD(ROW()-2,25)+1,
"D20","D21","D28","D29","D81",
"E21","E31","E51","E61","E62",
"E73","E83","F01","F11","F12",
"G12","H41","E01","E92","E92",
"E92","E92","E21","E83","D22")</f>
        <v/>
      </c>
      <c r="G58" s="48">
        <f t="array" ref="G58">INDEX('BIE Creation Sheet'!X:X,INT((ROW()-2)/25)+2)</f>
        <v/>
      </c>
      <c r="H58" s="64">
        <f t="array" ref="H58">INDEX('BIE Creation Sheet'!R:R,INT((ROW()-2)/25)+2)</f>
        <v/>
      </c>
      <c r="I58" s="54">
        <f>CHOOSE(MOD(ROW()-2,25)+1,
"FI","DK","SV","NO","DE",
"GB","IR","BE","NL","NL",
"FR","DE","CH","IT","IT",
"ES","PT","GB","PL","CZ",
"AT","AT","GB","DE","DK")</f>
        <v/>
      </c>
      <c r="J58" s="0">
        <f>0.01</f>
        <v/>
      </c>
    </row>
    <row r="59" ht="15.9" customHeight="1" s="1">
      <c r="A59" s="8" t="n"/>
      <c r="B59" s="68">
        <f t="array" ref="B59">INDEX('BIE Creation Sheet'!L:L,INT((ROW()-2)/25)+2)</f>
        <v/>
      </c>
      <c r="C59" s="53">
        <f>CHOOSE(MOD(ROW()-2,26)+1,
"D20","D21","D28","D29","D81","E21","E31","E51","E61","E62","E73","E83","F01","F11","F12","G12","H41","E01","I21","I41","E91","E92","E23","E81","D22","D20")</f>
        <v/>
      </c>
      <c r="D59" s="54">
        <f>CHOOSE(MOD(ROW()-2,25)+1,
"BNF","BND","BNN","BNS","BIA",
"BUK","BIR","BBE","BNL","BNL",
"BFR","BIG","BSW","BIT","BIT",
"BES","BPT","BIE","BPL1","BCZ1",
"BAT","BAT","BUK","BIG","BND")</f>
        <v/>
      </c>
      <c r="E59" s="59">
        <f>"01"</f>
        <v/>
      </c>
      <c r="F59" s="54">
        <f>CHOOSE(MOD(ROW()-2,25)+1,
"D20","D21","D28","D29","D81",
"E21","E31","E51","E61","E62",
"E73","E83","F01","F11","F12",
"G12","H41","E01","E92","E92",
"E92","E92","E21","E83","D22")</f>
        <v/>
      </c>
      <c r="G59" s="48">
        <f t="array" ref="G59">INDEX('BIE Creation Sheet'!X:X,INT((ROW()-2)/25)+2)</f>
        <v/>
      </c>
      <c r="H59" s="64">
        <f t="array" ref="H59">INDEX('BIE Creation Sheet'!R:R,INT((ROW()-2)/25)+2)</f>
        <v/>
      </c>
      <c r="I59" s="54">
        <f>CHOOSE(MOD(ROW()-2,25)+1,
"FI","DK","SV","NO","DE",
"GB","IR","BE","NL","NL",
"FR","DE","CH","IT","IT",
"ES","PT","GB","PL","CZ",
"AT","AT","GB","DE","DK")</f>
        <v/>
      </c>
      <c r="J59" s="0">
        <f>0.01</f>
        <v/>
      </c>
    </row>
    <row r="60" ht="15.9" customHeight="1" s="1">
      <c r="A60" s="8" t="n"/>
      <c r="B60" s="68">
        <f t="array" ref="B60">INDEX('BIE Creation Sheet'!L:L,INT((ROW()-2)/25)+2)</f>
        <v/>
      </c>
      <c r="C60" s="53">
        <f>CHOOSE(MOD(ROW()-2,26)+1,
"D20","D21","D28","D29","D81","E21","E31","E51","E61","E62","E73","E83","F01","F11","F12","G12","H41","E01","I21","I41","E91","E92","E23","E81","D22","D20")</f>
        <v/>
      </c>
      <c r="D60" s="54">
        <f>CHOOSE(MOD(ROW()-2,25)+1,
"BNF","BND","BNN","BNS","BIA",
"BUK","BIR","BBE","BNL","BNL",
"BFR","BIG","BSW","BIT","BIT",
"BES","BPT","BIE","BPL1","BCZ1",
"BAT","BAT","BUK","BIG","BND")</f>
        <v/>
      </c>
      <c r="E60" s="59">
        <f>"01"</f>
        <v/>
      </c>
      <c r="F60" s="54">
        <f>CHOOSE(MOD(ROW()-2,25)+1,
"D20","D21","D28","D29","D81",
"E21","E31","E51","E61","E62",
"E73","E83","F01","F11","F12",
"G12","H41","E01","E92","E92",
"E92","E92","E21","E83","D22")</f>
        <v/>
      </c>
      <c r="G60" s="48">
        <f t="array" ref="G60">INDEX('BIE Creation Sheet'!X:X,INT((ROW()-2)/25)+2)</f>
        <v/>
      </c>
      <c r="H60" s="64">
        <f t="array" ref="H60">INDEX('BIE Creation Sheet'!R:R,INT((ROW()-2)/25)+2)</f>
        <v/>
      </c>
      <c r="I60" s="54">
        <f>CHOOSE(MOD(ROW()-2,25)+1,
"FI","DK","SV","NO","DE",
"GB","IR","BE","NL","NL",
"FR","DE","CH","IT","IT",
"ES","PT","GB","PL","CZ",
"AT","AT","GB","DE","DK")</f>
        <v/>
      </c>
      <c r="J60" s="0">
        <f>0.01</f>
        <v/>
      </c>
    </row>
    <row r="61" ht="15.9" customHeight="1" s="1">
      <c r="A61" s="8" t="n"/>
      <c r="B61" s="68">
        <f t="array" ref="B61">INDEX('BIE Creation Sheet'!L:L,INT((ROW()-2)/25)+2)</f>
        <v/>
      </c>
      <c r="C61" s="53">
        <f>CHOOSE(MOD(ROW()-2,26)+1,
"D20","D21","D28","D29","D81","E21","E31","E51","E61","E62","E73","E83","F01","F11","F12","G12","H41","E01","I21","I41","E91","E92","E23","E81","D22","D20")</f>
        <v/>
      </c>
      <c r="D61" s="54">
        <f>CHOOSE(MOD(ROW()-2,25)+1,
"BNF","BND","BNN","BNS","BIA",
"BUK","BIR","BBE","BNL","BNL",
"BFR","BIG","BSW","BIT","BIT",
"BES","BPT","BIE","BPL1","BCZ1",
"BAT","BAT","BUK","BIG","BND")</f>
        <v/>
      </c>
      <c r="E61" s="59">
        <f>"01"</f>
        <v/>
      </c>
      <c r="F61" s="54">
        <f>CHOOSE(MOD(ROW()-2,25)+1,
"D20","D21","D28","D29","D81",
"E21","E31","E51","E61","E62",
"E73","E83","F01","F11","F12",
"G12","H41","E01","E92","E92",
"E92","E92","E21","E83","D22")</f>
        <v/>
      </c>
      <c r="G61" s="48">
        <f t="array" ref="G61">INDEX('BIE Creation Sheet'!X:X,INT((ROW()-2)/25)+2)</f>
        <v/>
      </c>
      <c r="H61" s="64">
        <f t="array" ref="H61">INDEX('BIE Creation Sheet'!R:R,INT((ROW()-2)/25)+2)</f>
        <v/>
      </c>
      <c r="I61" s="54">
        <f>CHOOSE(MOD(ROW()-2,25)+1,
"FI","DK","SV","NO","DE",
"GB","IR","BE","NL","NL",
"FR","DE","CH","IT","IT",
"ES","PT","GB","PL","CZ",
"AT","AT","GB","DE","DK")</f>
        <v/>
      </c>
      <c r="J61" s="0">
        <f>0.01</f>
        <v/>
      </c>
    </row>
    <row r="62" ht="15.9" customHeight="1" s="1">
      <c r="A62" s="8" t="n"/>
      <c r="B62" s="68">
        <f t="array" ref="B62">INDEX('BIE Creation Sheet'!L:L,INT((ROW()-2)/25)+2)</f>
        <v/>
      </c>
      <c r="C62" s="53">
        <f>CHOOSE(MOD(ROW()-2,26)+1,
"D20","D21","D28","D29","D81","E21","E31","E51","E61","E62","E73","E83","F01","F11","F12","G12","H41","E01","I21","I41","E91","E92","E23","E81","D22","D20")</f>
        <v/>
      </c>
      <c r="D62" s="54">
        <f>CHOOSE(MOD(ROW()-2,25)+1,
"BNF","BND","BNN","BNS","BIA",
"BUK","BIR","BBE","BNL","BNL",
"BFR","BIG","BSW","BIT","BIT",
"BES","BPT","BIE","BPL1","BCZ1",
"BAT","BAT","BUK","BIG","BND")</f>
        <v/>
      </c>
      <c r="E62" s="59">
        <f>"01"</f>
        <v/>
      </c>
      <c r="F62" s="54">
        <f>CHOOSE(MOD(ROW()-2,25)+1,
"D20","D21","D28","D29","D81",
"E21","E31","E51","E61","E62",
"E73","E83","F01","F11","F12",
"G12","H41","E01","E92","E92",
"E92","E92","E21","E83","D22")</f>
        <v/>
      </c>
      <c r="G62" s="48">
        <f t="array" ref="G62">INDEX('BIE Creation Sheet'!X:X,INT((ROW()-2)/25)+2)</f>
        <v/>
      </c>
      <c r="H62" s="64">
        <f t="array" ref="H62">INDEX('BIE Creation Sheet'!R:R,INT((ROW()-2)/25)+2)</f>
        <v/>
      </c>
      <c r="I62" s="54">
        <f>CHOOSE(MOD(ROW()-2,25)+1,
"FI","DK","SV","NO","DE",
"GB","IR","BE","NL","NL",
"FR","DE","CH","IT","IT",
"ES","PT","GB","PL","CZ",
"AT","AT","GB","DE","DK")</f>
        <v/>
      </c>
      <c r="J62" s="0">
        <f>0.01</f>
        <v/>
      </c>
    </row>
    <row r="63" ht="15.9" customHeight="1" s="1">
      <c r="A63" s="8" t="n"/>
      <c r="B63" s="68">
        <f t="array" ref="B63">INDEX('BIE Creation Sheet'!L:L,INT((ROW()-2)/25)+2)</f>
        <v/>
      </c>
      <c r="C63" s="53">
        <f>CHOOSE(MOD(ROW()-2,26)+1,
"D20","D21","D28","D29","D81","E21","E31","E51","E61","E62","E73","E83","F01","F11","F12","G12","H41","E01","I21","I41","E91","E92","E23","E81","D22","D20")</f>
        <v/>
      </c>
      <c r="D63" s="54">
        <f>CHOOSE(MOD(ROW()-2,25)+1,
"BNF","BND","BNN","BNS","BIA",
"BUK","BIR","BBE","BNL","BNL",
"BFR","BIG","BSW","BIT","BIT",
"BES","BPT","BIE","BPL1","BCZ1",
"BAT","BAT","BUK","BIG","BND")</f>
        <v/>
      </c>
      <c r="E63" s="59">
        <f>"01"</f>
        <v/>
      </c>
      <c r="F63" s="54">
        <f>CHOOSE(MOD(ROW()-2,25)+1,
"D20","D21","D28","D29","D81",
"E21","E31","E51","E61","E62",
"E73","E83","F01","F11","F12",
"G12","H41","E01","E92","E92",
"E92","E92","E21","E83","D22")</f>
        <v/>
      </c>
      <c r="G63" s="48">
        <f t="array" ref="G63">INDEX('BIE Creation Sheet'!X:X,INT((ROW()-2)/25)+2)</f>
        <v/>
      </c>
      <c r="H63" s="64">
        <f t="array" ref="H63">INDEX('BIE Creation Sheet'!R:R,INT((ROW()-2)/25)+2)</f>
        <v/>
      </c>
      <c r="I63" s="54">
        <f>CHOOSE(MOD(ROW()-2,25)+1,
"FI","DK","SV","NO","DE",
"GB","IR","BE","NL","NL",
"FR","DE","CH","IT","IT",
"ES","PT","GB","PL","CZ",
"AT","AT","GB","DE","DK")</f>
        <v/>
      </c>
      <c r="J63" s="0">
        <f>0.01</f>
        <v/>
      </c>
    </row>
    <row r="64" ht="15.9" customHeight="1" s="1">
      <c r="A64" s="8" t="n"/>
      <c r="B64" s="68">
        <f t="array" ref="B64">INDEX('BIE Creation Sheet'!L:L,INT((ROW()-2)/25)+2)</f>
        <v/>
      </c>
      <c r="C64" s="53">
        <f>CHOOSE(MOD(ROW()-2,26)+1,
"D20","D21","D28","D29","D81","E21","E31","E51","E61","E62","E73","E83","F01","F11","F12","G12","H41","E01","I21","I41","E91","E92","E23","E81","D22","D20")</f>
        <v/>
      </c>
      <c r="D64" s="54">
        <f>CHOOSE(MOD(ROW()-2,25)+1,
"BNF","BND","BNN","BNS","BIA",
"BUK","BIR","BBE","BNL","BNL",
"BFR","BIG","BSW","BIT","BIT",
"BES","BPT","BIE","BPL1","BCZ1",
"BAT","BAT","BUK","BIG","BND")</f>
        <v/>
      </c>
      <c r="E64" s="59">
        <f>"01"</f>
        <v/>
      </c>
      <c r="F64" s="54">
        <f>CHOOSE(MOD(ROW()-2,25)+1,
"D20","D21","D28","D29","D81",
"E21","E31","E51","E61","E62",
"E73","E83","F01","F11","F12",
"G12","H41","E01","E92","E92",
"E92","E92","E21","E83","D22")</f>
        <v/>
      </c>
      <c r="G64" s="48">
        <f t="array" ref="G64">INDEX('BIE Creation Sheet'!X:X,INT((ROW()-2)/25)+2)</f>
        <v/>
      </c>
      <c r="H64" s="64">
        <f t="array" ref="H64">INDEX('BIE Creation Sheet'!R:R,INT((ROW()-2)/25)+2)</f>
        <v/>
      </c>
      <c r="I64" s="54">
        <f>CHOOSE(MOD(ROW()-2,25)+1,
"FI","DK","SV","NO","DE",
"GB","IR","BE","NL","NL",
"FR","DE","CH","IT","IT",
"ES","PT","GB","PL","CZ",
"AT","AT","GB","DE","DK")</f>
        <v/>
      </c>
      <c r="J64" s="0">
        <f>0.01</f>
        <v/>
      </c>
    </row>
    <row r="65" ht="15.9" customHeight="1" s="1">
      <c r="A65" s="8" t="n"/>
      <c r="B65" s="68">
        <f t="array" ref="B65">INDEX('BIE Creation Sheet'!L:L,INT((ROW()-2)/25)+2)</f>
        <v/>
      </c>
      <c r="C65" s="53">
        <f>CHOOSE(MOD(ROW()-2,26)+1,
"D20","D21","D28","D29","D81","E21","E31","E51","E61","E62","E73","E83","F01","F11","F12","G12","H41","E01","I21","I41","E91","E92","E23","E81","D22","D20")</f>
        <v/>
      </c>
      <c r="D65" s="54">
        <f>CHOOSE(MOD(ROW()-2,25)+1,
"BNF","BND","BNN","BNS","BIA",
"BUK","BIR","BBE","BNL","BNL",
"BFR","BIG","BSW","BIT","BIT",
"BES","BPT","BIE","BPL1","BCZ1",
"BAT","BAT","BUK","BIG","BND")</f>
        <v/>
      </c>
      <c r="E65" s="59">
        <f>"01"</f>
        <v/>
      </c>
      <c r="F65" s="54">
        <f>CHOOSE(MOD(ROW()-2,25)+1,
"D20","D21","D28","D29","D81",
"E21","E31","E51","E61","E62",
"E73","E83","F01","F11","F12",
"G12","H41","E01","E92","E92",
"E92","E92","E21","E83","D22")</f>
        <v/>
      </c>
      <c r="G65" s="48">
        <f t="array" ref="G65">INDEX('BIE Creation Sheet'!X:X,INT((ROW()-2)/25)+2)</f>
        <v/>
      </c>
      <c r="H65" s="64">
        <f t="array" ref="H65">INDEX('BIE Creation Sheet'!R:R,INT((ROW()-2)/25)+2)</f>
        <v/>
      </c>
      <c r="I65" s="54">
        <f>CHOOSE(MOD(ROW()-2,25)+1,
"FI","DK","SV","NO","DE",
"GB","IR","BE","NL","NL",
"FR","DE","CH","IT","IT",
"ES","PT","GB","PL","CZ",
"AT","AT","GB","DE","DK")</f>
        <v/>
      </c>
      <c r="J65" s="0">
        <f>0.01</f>
        <v/>
      </c>
    </row>
    <row r="66" ht="15.9" customHeight="1" s="1">
      <c r="A66" s="8" t="n"/>
      <c r="B66" s="68">
        <f t="array" ref="B66">INDEX('BIE Creation Sheet'!L:L,INT((ROW()-2)/25)+2)</f>
        <v/>
      </c>
      <c r="C66" s="53">
        <f>CHOOSE(MOD(ROW()-2,26)+1,
"D20","D21","D28","D29","D81","E21","E31","E51","E61","E62","E73","E83","F01","F11","F12","G12","H41","E01","I21","I41","E91","E92","E23","E81","D22","D20")</f>
        <v/>
      </c>
      <c r="D66" s="54">
        <f>CHOOSE(MOD(ROW()-2,25)+1,
"BNF","BND","BNN","BNS","BIA",
"BUK","BIR","BBE","BNL","BNL",
"BFR","BIG","BSW","BIT","BIT",
"BES","BPT","BIE","BPL1","BCZ1",
"BAT","BAT","BUK","BIG","BND")</f>
        <v/>
      </c>
      <c r="E66" s="59">
        <f>"01"</f>
        <v/>
      </c>
      <c r="F66" s="54">
        <f>CHOOSE(MOD(ROW()-2,25)+1,
"D20","D21","D28","D29","D81",
"E21","E31","E51","E61","E62",
"E73","E83","F01","F11","F12",
"G12","H41","E01","E92","E92",
"E92","E92","E21","E83","D22")</f>
        <v/>
      </c>
      <c r="G66" s="48">
        <f t="array" ref="G66">INDEX('BIE Creation Sheet'!X:X,INT((ROW()-2)/25)+2)</f>
        <v/>
      </c>
      <c r="H66" s="64">
        <f t="array" ref="H66">INDEX('BIE Creation Sheet'!R:R,INT((ROW()-2)/25)+2)</f>
        <v/>
      </c>
      <c r="I66" s="54">
        <f>CHOOSE(MOD(ROW()-2,25)+1,
"FI","DK","SV","NO","DE",
"GB","IR","BE","NL","NL",
"FR","DE","CH","IT","IT",
"ES","PT","GB","PL","CZ",
"AT","AT","GB","DE","DK")</f>
        <v/>
      </c>
      <c r="J66" s="0">
        <f>0.01</f>
        <v/>
      </c>
    </row>
    <row r="67" ht="15.9" customHeight="1" s="1">
      <c r="A67" s="8" t="n"/>
      <c r="B67" s="68">
        <f t="array" ref="B67">INDEX('BIE Creation Sheet'!L:L,INT((ROW()-2)/25)+2)</f>
        <v/>
      </c>
      <c r="C67" s="53">
        <f>CHOOSE(MOD(ROW()-2,26)+1,
"D20","D21","D28","D29","D81","E21","E31","E51","E61","E62","E73","E83","F01","F11","F12","G12","H41","E01","I21","I41","E91","E92","E23","E81","D22","D20")</f>
        <v/>
      </c>
      <c r="D67" s="54">
        <f>CHOOSE(MOD(ROW()-2,25)+1,
"BNF","BND","BNN","BNS","BIA",
"BUK","BIR","BBE","BNL","BNL",
"BFR","BIG","BSW","BIT","BIT",
"BES","BPT","BIE","BPL1","BCZ1",
"BAT","BAT","BUK","BIG","BND")</f>
        <v/>
      </c>
      <c r="E67" s="59">
        <f>"01"</f>
        <v/>
      </c>
      <c r="F67" s="54">
        <f>CHOOSE(MOD(ROW()-2,25)+1,
"D20","D21","D28","D29","D81",
"E21","E31","E51","E61","E62",
"E73","E83","F01","F11","F12",
"G12","H41","E01","E92","E92",
"E92","E92","E21","E83","D22")</f>
        <v/>
      </c>
      <c r="G67" s="48">
        <f t="array" ref="G67">INDEX('BIE Creation Sheet'!X:X,INT((ROW()-2)/25)+2)</f>
        <v/>
      </c>
      <c r="H67" s="64">
        <f t="array" ref="H67">INDEX('BIE Creation Sheet'!R:R,INT((ROW()-2)/25)+2)</f>
        <v/>
      </c>
      <c r="I67" s="54">
        <f>CHOOSE(MOD(ROW()-2,25)+1,
"FI","DK","SV","NO","DE",
"GB","IR","BE","NL","NL",
"FR","DE","CH","IT","IT",
"ES","PT","GB","PL","CZ",
"AT","AT","GB","DE","DK")</f>
        <v/>
      </c>
      <c r="J67" s="0">
        <f>0.01</f>
        <v/>
      </c>
    </row>
    <row r="68" ht="15.9" customHeight="1" s="1">
      <c r="A68" s="8" t="n"/>
      <c r="B68" s="68">
        <f t="array" ref="B68">INDEX('BIE Creation Sheet'!L:L,INT((ROW()-2)/25)+2)</f>
        <v/>
      </c>
      <c r="C68" s="53">
        <f>CHOOSE(MOD(ROW()-2,26)+1,
"D20","D21","D28","D29","D81","E21","E31","E51","E61","E62","E73","E83","F01","F11","F12","G12","H41","E01","I21","I41","E91","E92","E23","E81","D22","D20")</f>
        <v/>
      </c>
      <c r="D68" s="54">
        <f>CHOOSE(MOD(ROW()-2,25)+1,
"BNF","BND","BNN","BNS","BIA",
"BUK","BIR","BBE","BNL","BNL",
"BFR","BIG","BSW","BIT","BIT",
"BES","BPT","BIE","BPL1","BCZ1",
"BAT","BAT","BUK","BIG","BND")</f>
        <v/>
      </c>
      <c r="E68" s="59">
        <f>"01"</f>
        <v/>
      </c>
      <c r="F68" s="54">
        <f>CHOOSE(MOD(ROW()-2,25)+1,
"D20","D21","D28","D29","D81",
"E21","E31","E51","E61","E62",
"E73","E83","F01","F11","F12",
"G12","H41","E01","E92","E92",
"E92","E92","E21","E83","D22")</f>
        <v/>
      </c>
      <c r="G68" s="48">
        <f t="array" ref="G68">INDEX('BIE Creation Sheet'!X:X,INT((ROW()-2)/25)+2)</f>
        <v/>
      </c>
      <c r="H68" s="64">
        <f t="array" ref="H68">INDEX('BIE Creation Sheet'!R:R,INT((ROW()-2)/25)+2)</f>
        <v/>
      </c>
      <c r="I68" s="54">
        <f>CHOOSE(MOD(ROW()-2,25)+1,
"FI","DK","SV","NO","DE",
"GB","IR","BE","NL","NL",
"FR","DE","CH","IT","IT",
"ES","PT","GB","PL","CZ",
"AT","AT","GB","DE","DK")</f>
        <v/>
      </c>
      <c r="J68" s="0">
        <f>0.01</f>
        <v/>
      </c>
    </row>
    <row r="69" ht="15.9" customHeight="1" s="1">
      <c r="A69" s="8" t="n"/>
      <c r="B69" s="68">
        <f t="array" ref="B69">INDEX('BIE Creation Sheet'!L:L,INT((ROW()-2)/25)+2)</f>
        <v/>
      </c>
      <c r="C69" s="53">
        <f>CHOOSE(MOD(ROW()-2,26)+1,
"D20","D21","D28","D29","D81","E21","E31","E51","E61","E62","E73","E83","F01","F11","F12","G12","H41","E01","I21","I41","E91","E92","E23","E81","D22","D20")</f>
        <v/>
      </c>
      <c r="D69" s="54">
        <f>CHOOSE(MOD(ROW()-2,25)+1,
"BNF","BND","BNN","BNS","BIA",
"BUK","BIR","BBE","BNL","BNL",
"BFR","BIG","BSW","BIT","BIT",
"BES","BPT","BIE","BPL1","BCZ1",
"BAT","BAT","BUK","BIG","BND")</f>
        <v/>
      </c>
      <c r="E69" s="59">
        <f>"01"</f>
        <v/>
      </c>
      <c r="F69" s="54">
        <f>CHOOSE(MOD(ROW()-2,25)+1,
"D20","D21","D28","D29","D81",
"E21","E31","E51","E61","E62",
"E73","E83","F01","F11","F12",
"G12","H41","E01","E92","E92",
"E92","E92","E21","E83","D22")</f>
        <v/>
      </c>
      <c r="G69" s="48">
        <f t="array" ref="G69">INDEX('BIE Creation Sheet'!X:X,INT((ROW()-2)/25)+2)</f>
        <v/>
      </c>
      <c r="H69" s="64">
        <f t="array" ref="H69">INDEX('BIE Creation Sheet'!R:R,INT((ROW()-2)/25)+2)</f>
        <v/>
      </c>
      <c r="I69" s="54">
        <f>CHOOSE(MOD(ROW()-2,25)+1,
"FI","DK","SV","NO","DE",
"GB","IR","BE","NL","NL",
"FR","DE","CH","IT","IT",
"ES","PT","GB","PL","CZ",
"AT","AT","GB","DE","DK")</f>
        <v/>
      </c>
      <c r="J69" s="0">
        <f>0.01</f>
        <v/>
      </c>
    </row>
    <row r="70" ht="15.9" customHeight="1" s="1">
      <c r="A70" s="8" t="n"/>
      <c r="B70" s="68">
        <f t="array" ref="B70">INDEX('BIE Creation Sheet'!L:L,INT((ROW()-2)/25)+2)</f>
        <v/>
      </c>
      <c r="C70" s="53">
        <f>CHOOSE(MOD(ROW()-2,26)+1,
"D20","D21","D28","D29","D81","E21","E31","E51","E61","E62","E73","E83","F01","F11","F12","G12","H41","E01","I21","I41","E91","E92","E23","E81","D22","D20")</f>
        <v/>
      </c>
      <c r="D70" s="54">
        <f>CHOOSE(MOD(ROW()-2,25)+1,
"BNF","BND","BNN","BNS","BIA",
"BUK","BIR","BBE","BNL","BNL",
"BFR","BIG","BSW","BIT","BIT",
"BES","BPT","BIE","BPL1","BCZ1",
"BAT","BAT","BUK","BIG","BND")</f>
        <v/>
      </c>
      <c r="E70" s="59">
        <f>"01"</f>
        <v/>
      </c>
      <c r="F70" s="54">
        <f>CHOOSE(MOD(ROW()-2,25)+1,
"D20","D21","D28","D29","D81",
"E21","E31","E51","E61","E62",
"E73","E83","F01","F11","F12",
"G12","H41","E01","E92","E92",
"E92","E92","E21","E83","D22")</f>
        <v/>
      </c>
      <c r="G70" s="48">
        <f t="array" ref="G70">INDEX('BIE Creation Sheet'!X:X,INT((ROW()-2)/25)+2)</f>
        <v/>
      </c>
      <c r="H70" s="64">
        <f t="array" ref="H70">INDEX('BIE Creation Sheet'!R:R,INT((ROW()-2)/25)+2)</f>
        <v/>
      </c>
      <c r="I70" s="54">
        <f>CHOOSE(MOD(ROW()-2,25)+1,
"FI","DK","SV","NO","DE",
"GB","IR","BE","NL","NL",
"FR","DE","CH","IT","IT",
"ES","PT","GB","PL","CZ",
"AT","AT","GB","DE","DK")</f>
        <v/>
      </c>
      <c r="J70" s="0">
        <f>0.01</f>
        <v/>
      </c>
    </row>
    <row r="71" ht="15.9" customHeight="1" s="1">
      <c r="A71" s="8" t="n"/>
      <c r="B71" s="68">
        <f t="array" ref="B71">INDEX('BIE Creation Sheet'!L:L,INT((ROW()-2)/25)+2)</f>
        <v/>
      </c>
      <c r="C71" s="53">
        <f>CHOOSE(MOD(ROW()-2,26)+1,
"D20","D21","D28","D29","D81","E21","E31","E51","E61","E62","E73","E83","F01","F11","F12","G12","H41","E01","I21","I41","E91","E92","E23","E81","D22","D20")</f>
        <v/>
      </c>
      <c r="D71" s="54">
        <f>CHOOSE(MOD(ROW()-2,25)+1,
"BNF","BND","BNN","BNS","BIA",
"BUK","BIR","BBE","BNL","BNL",
"BFR","BIG","BSW","BIT","BIT",
"BES","BPT","BIE","BPL1","BCZ1",
"BAT","BAT","BUK","BIG","BND")</f>
        <v/>
      </c>
      <c r="E71" s="59">
        <f>"01"</f>
        <v/>
      </c>
      <c r="F71" s="54">
        <f>CHOOSE(MOD(ROW()-2,25)+1,
"D20","D21","D28","D29","D81",
"E21","E31","E51","E61","E62",
"E73","E83","F01","F11","F12",
"G12","H41","E01","E92","E92",
"E92","E92","E21","E83","D22")</f>
        <v/>
      </c>
      <c r="G71" s="48">
        <f t="array" ref="G71">INDEX('BIE Creation Sheet'!X:X,INT((ROW()-2)/25)+2)</f>
        <v/>
      </c>
      <c r="H71" s="64">
        <f t="array" ref="H71">INDEX('BIE Creation Sheet'!R:R,INT((ROW()-2)/25)+2)</f>
        <v/>
      </c>
      <c r="I71" s="54">
        <f>CHOOSE(MOD(ROW()-2,25)+1,
"FI","DK","SV","NO","DE",
"GB","IR","BE","NL","NL",
"FR","DE","CH","IT","IT",
"ES","PT","GB","PL","CZ",
"AT","AT","GB","DE","DK")</f>
        <v/>
      </c>
      <c r="J71" s="0">
        <f>0.01</f>
        <v/>
      </c>
    </row>
    <row r="72" ht="15.9" customHeight="1" s="1">
      <c r="A72" s="8" t="n"/>
      <c r="B72" s="68">
        <f t="array" ref="B72">INDEX('BIE Creation Sheet'!L:L,INT((ROW()-2)/25)+2)</f>
        <v/>
      </c>
      <c r="C72" s="53">
        <f>CHOOSE(MOD(ROW()-2,26)+1,
"D20","D21","D28","D29","D81","E21","E31","E51","E61","E62","E73","E83","F01","F11","F12","G12","H41","E01","I21","I41","E91","E92","E23","E81","D22","D20")</f>
        <v/>
      </c>
      <c r="D72" s="54">
        <f>CHOOSE(MOD(ROW()-2,25)+1,
"BNF","BND","BNN","BNS","BIA",
"BUK","BIR","BBE","BNL","BNL",
"BFR","BIG","BSW","BIT","BIT",
"BES","BPT","BIE","BPL1","BCZ1",
"BAT","BAT","BUK","BIG","BND")</f>
        <v/>
      </c>
      <c r="E72" s="59">
        <f>"01"</f>
        <v/>
      </c>
      <c r="F72" s="54">
        <f>CHOOSE(MOD(ROW()-2,25)+1,
"D20","D21","D28","D29","D81",
"E21","E31","E51","E61","E62",
"E73","E83","F01","F11","F12",
"G12","H41","E01","E92","E92",
"E92","E92","E21","E83","D22")</f>
        <v/>
      </c>
      <c r="G72" s="48">
        <f t="array" ref="G72">INDEX('BIE Creation Sheet'!X:X,INT((ROW()-2)/25)+2)</f>
        <v/>
      </c>
      <c r="H72" s="64">
        <f t="array" ref="H72">INDEX('BIE Creation Sheet'!R:R,INT((ROW()-2)/25)+2)</f>
        <v/>
      </c>
      <c r="I72" s="54">
        <f>CHOOSE(MOD(ROW()-2,25)+1,
"FI","DK","SV","NO","DE",
"GB","IR","BE","NL","NL",
"FR","DE","CH","IT","IT",
"ES","PT","GB","PL","CZ",
"AT","AT","GB","DE","DK")</f>
        <v/>
      </c>
      <c r="J72" s="0">
        <f>0.01</f>
        <v/>
      </c>
    </row>
    <row r="73" ht="15.9" customHeight="1" s="1">
      <c r="A73" s="8" t="n"/>
      <c r="B73" s="68">
        <f t="array" ref="B73">INDEX('BIE Creation Sheet'!L:L,INT((ROW()-2)/25)+2)</f>
        <v/>
      </c>
      <c r="C73" s="53">
        <f>CHOOSE(MOD(ROW()-2,26)+1,
"D20","D21","D28","D29","D81","E21","E31","E51","E61","E62","E73","E83","F01","F11","F12","G12","H41","E01","I21","I41","E91","E92","E23","E81","D22","D20")</f>
        <v/>
      </c>
      <c r="D73" s="54">
        <f>CHOOSE(MOD(ROW()-2,25)+1,
"BNF","BND","BNN","BNS","BIA",
"BUK","BIR","BBE","BNL","BNL",
"BFR","BIG","BSW","BIT","BIT",
"BES","BPT","BIE","BPL1","BCZ1",
"BAT","BAT","BUK","BIG","BND")</f>
        <v/>
      </c>
      <c r="E73" s="59">
        <f>"01"</f>
        <v/>
      </c>
      <c r="F73" s="54">
        <f>CHOOSE(MOD(ROW()-2,25)+1,
"D20","D21","D28","D29","D81",
"E21","E31","E51","E61","E62",
"E73","E83","F01","F11","F12",
"G12","H41","E01","E92","E92",
"E92","E92","E21","E83","D22")</f>
        <v/>
      </c>
      <c r="G73" s="48">
        <f t="array" ref="G73">INDEX('BIE Creation Sheet'!X:X,INT((ROW()-2)/25)+2)</f>
        <v/>
      </c>
      <c r="H73" s="64">
        <f t="array" ref="H73">INDEX('BIE Creation Sheet'!R:R,INT((ROW()-2)/25)+2)</f>
        <v/>
      </c>
      <c r="I73" s="54">
        <f>CHOOSE(MOD(ROW()-2,25)+1,
"FI","DK","SV","NO","DE",
"GB","IR","BE","NL","NL",
"FR","DE","CH","IT","IT",
"ES","PT","GB","PL","CZ",
"AT","AT","GB","DE","DK")</f>
        <v/>
      </c>
      <c r="J73" s="0">
        <f>0.01</f>
        <v/>
      </c>
    </row>
    <row r="74" ht="15.9" customHeight="1" s="1">
      <c r="A74" s="8" t="n"/>
      <c r="B74" s="68">
        <f t="array" ref="B74">INDEX('BIE Creation Sheet'!L:L,INT((ROW()-2)/25)+2)</f>
        <v/>
      </c>
      <c r="C74" s="53">
        <f>CHOOSE(MOD(ROW()-2,26)+1,
"D20","D21","D28","D29","D81","E21","E31","E51","E61","E62","E73","E83","F01","F11","F12","G12","H41","E01","I21","I41","E91","E92","E23","E81","D22","D20")</f>
        <v/>
      </c>
      <c r="D74" s="54">
        <f>CHOOSE(MOD(ROW()-2,25)+1,
"BNF","BND","BNN","BNS","BIA",
"BUK","BIR","BBE","BNL","BNL",
"BFR","BIG","BSW","BIT","BIT",
"BES","BPT","BIE","BPL1","BCZ1",
"BAT","BAT","BUK","BIG","BND")</f>
        <v/>
      </c>
      <c r="E74" s="59">
        <f>"01"</f>
        <v/>
      </c>
      <c r="F74" s="54">
        <f>CHOOSE(MOD(ROW()-2,25)+1,
"D20","D21","D28","D29","D81",
"E21","E31","E51","E61","E62",
"E73","E83","F01","F11","F12",
"G12","H41","E01","E92","E92",
"E92","E92","E21","E83","D22")</f>
        <v/>
      </c>
      <c r="G74" s="48">
        <f t="array" ref="G74">INDEX('BIE Creation Sheet'!X:X,INT((ROW()-2)/25)+2)</f>
        <v/>
      </c>
      <c r="H74" s="64">
        <f t="array" ref="H74">INDEX('BIE Creation Sheet'!R:R,INT((ROW()-2)/25)+2)</f>
        <v/>
      </c>
      <c r="I74" s="54">
        <f>CHOOSE(MOD(ROW()-2,25)+1,
"FI","DK","SV","NO","DE",
"GB","IR","BE","NL","NL",
"FR","DE","CH","IT","IT",
"ES","PT","GB","PL","CZ",
"AT","AT","GB","DE","DK")</f>
        <v/>
      </c>
      <c r="J74" s="0">
        <f>0.01</f>
        <v/>
      </c>
    </row>
    <row r="75" ht="15.9" customHeight="1" s="1">
      <c r="A75" s="8" t="n"/>
      <c r="B75" s="68">
        <f t="array" ref="B75">INDEX('BIE Creation Sheet'!L:L,INT((ROW()-2)/25)+2)</f>
        <v/>
      </c>
      <c r="C75" s="53">
        <f>CHOOSE(MOD(ROW()-2,26)+1,
"D20","D21","D28","D29","D81","E21","E31","E51","E61","E62","E73","E83","F01","F11","F12","G12","H41","E01","I21","I41","E91","E92","E23","E81","D22","D20")</f>
        <v/>
      </c>
      <c r="D75" s="54">
        <f>CHOOSE(MOD(ROW()-2,25)+1,
"BNF","BND","BNN","BNS","BIA",
"BUK","BIR","BBE","BNL","BNL",
"BFR","BIG","BSW","BIT","BIT",
"BES","BPT","BIE","BPL1","BCZ1",
"BAT","BAT","BUK","BIG","BND")</f>
        <v/>
      </c>
      <c r="E75" s="59">
        <f>"01"</f>
        <v/>
      </c>
      <c r="F75" s="54">
        <f>CHOOSE(MOD(ROW()-2,25)+1,
"D20","D21","D28","D29","D81",
"E21","E31","E51","E61","E62",
"E73","E83","F01","F11","F12",
"G12","H41","E01","E92","E92",
"E92","E92","E21","E83","D22")</f>
        <v/>
      </c>
      <c r="G75" s="48">
        <f t="array" ref="G75">INDEX('BIE Creation Sheet'!X:X,INT((ROW()-2)/25)+2)</f>
        <v/>
      </c>
      <c r="H75" s="64">
        <f t="array" ref="H75">INDEX('BIE Creation Sheet'!R:R,INT((ROW()-2)/25)+2)</f>
        <v/>
      </c>
      <c r="I75" s="54">
        <f>CHOOSE(MOD(ROW()-2,25)+1,
"FI","DK","SV","NO","DE",
"GB","IR","BE","NL","NL",
"FR","DE","CH","IT","IT",
"ES","PT","GB","PL","CZ",
"AT","AT","GB","DE","DK")</f>
        <v/>
      </c>
      <c r="J75" s="0">
        <f>0.01</f>
        <v/>
      </c>
    </row>
    <row r="76" ht="15.9" customHeight="1" s="1">
      <c r="A76" s="8" t="n"/>
      <c r="B76" s="68">
        <f t="array" ref="B76">INDEX('BIE Creation Sheet'!L:L,INT((ROW()-2)/25)+2)</f>
        <v/>
      </c>
      <c r="C76" s="53">
        <f>CHOOSE(MOD(ROW()-2,26)+1,
"D20","D21","D28","D29","D81","E21","E31","E51","E61","E62","E73","E83","F01","F11","F12","G12","H41","E01","I21","I41","E91","E92","E23","E81","D22","D20")</f>
        <v/>
      </c>
      <c r="D76" s="54">
        <f>CHOOSE(MOD(ROW()-2,25)+1,
"BNF","BND","BNN","BNS","BIA",
"BUK","BIR","BBE","BNL","BNL",
"BFR","BIG","BSW","BIT","BIT",
"BES","BPT","BIE","BPL1","BCZ1",
"BAT","BAT","BUK","BIG","BND")</f>
        <v/>
      </c>
      <c r="E76" s="59">
        <f>"01"</f>
        <v/>
      </c>
      <c r="F76" s="54">
        <f>CHOOSE(MOD(ROW()-2,25)+1,
"D20","D21","D28","D29","D81",
"E21","E31","E51","E61","E62",
"E73","E83","F01","F11","F12",
"G12","H41","E01","E92","E92",
"E92","E92","E21","E83","D22")</f>
        <v/>
      </c>
      <c r="G76" s="48">
        <f t="array" ref="G76">INDEX('BIE Creation Sheet'!X:X,INT((ROW()-2)/25)+2)</f>
        <v/>
      </c>
      <c r="H76" s="64">
        <f t="array" ref="H76">INDEX('BIE Creation Sheet'!R:R,INT((ROW()-2)/25)+2)</f>
        <v/>
      </c>
      <c r="I76" s="54">
        <f>CHOOSE(MOD(ROW()-2,25)+1,
"FI","DK","SV","NO","DE",
"GB","IR","BE","NL","NL",
"FR","DE","CH","IT","IT",
"ES","PT","GB","PL","CZ",
"AT","AT","GB","DE","DK")</f>
        <v/>
      </c>
      <c r="J76" s="0">
        <f>0.01</f>
        <v/>
      </c>
    </row>
    <row r="77" ht="15.9" customHeight="1" s="1">
      <c r="A77" s="42" t="n"/>
      <c r="B77" s="68">
        <f t="array" ref="B77">INDEX('BIE Creation Sheet'!L:L,INT((ROW()-2)/25)+2)</f>
        <v/>
      </c>
      <c r="C77" s="53">
        <f>CHOOSE(MOD(ROW()-2,26)+1,
"D20","D21","D28","D29","D81","E21","E31","E51","E61","E62","E73","E83","F01","F11","F12","G12","H41","E01","I21","I41","E91","E92","E23","E81","D22","D20")</f>
        <v/>
      </c>
      <c r="D77" s="54">
        <f>CHOOSE(MOD(ROW()-2,25)+1,
"BNF","BND","BNN","BNS","BIA",
"BUK","BIR","BBE","BNL","BNL",
"BFR","BIG","BSW","BIT","BIT",
"BES","BPT","BIE","BPL1","BCZ1",
"BAT","BAT","BUK","BIG","BND")</f>
        <v/>
      </c>
      <c r="E77" s="59">
        <f>"01"</f>
        <v/>
      </c>
      <c r="F77" s="54">
        <f>CHOOSE(MOD(ROW()-2,25)+1,
"D20","D21","D28","D29","D81",
"E21","E31","E51","E61","E62",
"E73","E83","F01","F11","F12",
"G12","H41","E01","E92","E92",
"E92","E92","E21","E83","D22")</f>
        <v/>
      </c>
      <c r="G77" s="48">
        <f t="array" ref="G77">INDEX('BIE Creation Sheet'!X:X,INT((ROW()-2)/25)+2)</f>
        <v/>
      </c>
      <c r="H77" s="64">
        <f t="array" ref="H77">INDEX('BIE Creation Sheet'!R:R,INT((ROW()-2)/25)+2)</f>
        <v/>
      </c>
      <c r="I77" s="54">
        <f>CHOOSE(MOD(ROW()-2,25)+1,
"FI","DK","SV","NO","DE",
"GB","IR","BE","NL","NL",
"FR","DE","CH","IT","IT",
"ES","PT","GB","PL","CZ",
"AT","AT","GB","DE","DK")</f>
        <v/>
      </c>
      <c r="J77" s="0">
        <f>0.01</f>
        <v/>
      </c>
    </row>
    <row r="78" ht="15.9" customHeight="1" s="1">
      <c r="A78" s="42" t="n"/>
      <c r="B78" s="68">
        <f t="array" ref="B78">INDEX('BIE Creation Sheet'!L:L,INT((ROW()-2)/25)+2)</f>
        <v/>
      </c>
      <c r="C78" s="53">
        <f>CHOOSE(MOD(ROW()-2,26)+1,
"D20","D21","D28","D29","D81","E21","E31","E51","E61","E62","E73","E83","F01","F11","F12","G12","H41","E01","I21","I41","E91","E92","E23","E81","D22","D20")</f>
        <v/>
      </c>
      <c r="D78" s="54">
        <f>CHOOSE(MOD(ROW()-2,25)+1,
"BNF","BND","BNN","BNS","BIA",
"BUK","BIR","BBE","BNL","BNL",
"BFR","BIG","BSW","BIT","BIT",
"BES","BPT","BIE","BPL1","BCZ1",
"BAT","BAT","BUK","BIG","BND")</f>
        <v/>
      </c>
      <c r="E78" s="59">
        <f>"01"</f>
        <v/>
      </c>
      <c r="F78" s="54">
        <f>CHOOSE(MOD(ROW()-2,25)+1,
"D20","D21","D28","D29","D81",
"E21","E31","E51","E61","E62",
"E73","E83","F01","F11","F12",
"G12","H41","E01","E92","E92",
"E92","E92","E21","E83","D22")</f>
        <v/>
      </c>
      <c r="G78" s="48">
        <f t="array" ref="G78">INDEX('BIE Creation Sheet'!X:X,INT((ROW()-2)/25)+2)</f>
        <v/>
      </c>
      <c r="H78" s="64">
        <f t="array" ref="H78">INDEX('BIE Creation Sheet'!R:R,INT((ROW()-2)/25)+2)</f>
        <v/>
      </c>
      <c r="I78" s="54">
        <f>CHOOSE(MOD(ROW()-2,25)+1,
"FI","DK","SV","NO","DE",
"GB","IR","BE","NL","NL",
"FR","DE","CH","IT","IT",
"ES","PT","GB","PL","CZ",
"AT","AT","GB","DE","DK")</f>
        <v/>
      </c>
      <c r="J78" s="0">
        <f>0.01</f>
        <v/>
      </c>
    </row>
    <row r="79" ht="15.9" customHeight="1" s="1">
      <c r="A79" s="42" t="n"/>
      <c r="B79" s="68">
        <f t="array" ref="B79">INDEX('BIE Creation Sheet'!L:L,INT((ROW()-2)/25)+2)</f>
        <v/>
      </c>
      <c r="C79" s="53">
        <f>CHOOSE(MOD(ROW()-2,26)+1,
"D20","D21","D28","D29","D81","E21","E31","E51","E61","E62","E73","E83","F01","F11","F12","G12","H41","E01","I21","I41","E91","E92","E23","E81","D22","D20")</f>
        <v/>
      </c>
      <c r="D79" s="54">
        <f>CHOOSE(MOD(ROW()-2,25)+1,
"BNF","BND","BNN","BNS","BIA",
"BUK","BIR","BBE","BNL","BNL",
"BFR","BIG","BSW","BIT","BIT",
"BES","BPT","BIE","BPL1","BCZ1",
"BAT","BAT","BUK","BIG","BND")</f>
        <v/>
      </c>
      <c r="E79" s="59">
        <f>"01"</f>
        <v/>
      </c>
      <c r="F79" s="54">
        <f>CHOOSE(MOD(ROW()-2,25)+1,
"D20","D21","D28","D29","D81",
"E21","E31","E51","E61","E62",
"E73","E83","F01","F11","F12",
"G12","H41","E01","E92","E92",
"E92","E92","E21","E83","D22")</f>
        <v/>
      </c>
      <c r="G79" s="48">
        <f t="array" ref="G79">INDEX('BIE Creation Sheet'!X:X,INT((ROW()-2)/25)+2)</f>
        <v/>
      </c>
      <c r="H79" s="64">
        <f t="array" ref="H79">INDEX('BIE Creation Sheet'!R:R,INT((ROW()-2)/25)+2)</f>
        <v/>
      </c>
      <c r="I79" s="54">
        <f>CHOOSE(MOD(ROW()-2,25)+1,
"FI","DK","SV","NO","DE",
"GB","IR","BE","NL","NL",
"FR","DE","CH","IT","IT",
"ES","PT","GB","PL","CZ",
"AT","AT","GB","DE","DK")</f>
        <v/>
      </c>
      <c r="J79" s="0">
        <f>0.01</f>
        <v/>
      </c>
    </row>
    <row r="80" ht="15.9" customHeight="1" s="1">
      <c r="A80" s="42" t="n"/>
      <c r="B80" s="68">
        <f t="array" ref="B80">INDEX('BIE Creation Sheet'!L:L,INT((ROW()-2)/25)+2)</f>
        <v/>
      </c>
      <c r="C80" s="53">
        <f>CHOOSE(MOD(ROW()-2,26)+1,
"D20","D21","D28","D29","D81","E21","E31","E51","E61","E62","E73","E83","F01","F11","F12","G12","H41","E01","I21","I41","E91","E92","E23","E81","D22","D20")</f>
        <v/>
      </c>
      <c r="D80" s="54">
        <f>CHOOSE(MOD(ROW()-2,25)+1,
"BNF","BND","BNN","BNS","BIA",
"BUK","BIR","BBE","BNL","BNL",
"BFR","BIG","BSW","BIT","BIT",
"BES","BPT","BIE","BPL1","BCZ1",
"BAT","BAT","BUK","BIG","BND")</f>
        <v/>
      </c>
      <c r="E80" s="59">
        <f>"01"</f>
        <v/>
      </c>
      <c r="F80" s="54">
        <f>CHOOSE(MOD(ROW()-2,25)+1,
"D20","D21","D28","D29","D81",
"E21","E31","E51","E61","E62",
"E73","E83","F01","F11","F12",
"G12","H41","E01","E92","E92",
"E92","E92","E21","E83","D22")</f>
        <v/>
      </c>
      <c r="G80" s="48">
        <f t="array" ref="G80">INDEX('BIE Creation Sheet'!X:X,INT((ROW()-2)/25)+2)</f>
        <v/>
      </c>
      <c r="H80" s="64">
        <f t="array" ref="H80">INDEX('BIE Creation Sheet'!R:R,INT((ROW()-2)/25)+2)</f>
        <v/>
      </c>
      <c r="I80" s="54">
        <f>CHOOSE(MOD(ROW()-2,25)+1,
"FI","DK","SV","NO","DE",
"GB","IR","BE","NL","NL",
"FR","DE","CH","IT","IT",
"ES","PT","GB","PL","CZ",
"AT","AT","GB","DE","DK")</f>
        <v/>
      </c>
      <c r="J80" s="0">
        <f>0.01</f>
        <v/>
      </c>
    </row>
    <row r="81" ht="15.9" customHeight="1" s="1">
      <c r="A81" s="42" t="n"/>
      <c r="B81" s="68">
        <f t="array" ref="B81">INDEX('BIE Creation Sheet'!L:L,INT((ROW()-2)/25)+2)</f>
        <v/>
      </c>
      <c r="C81" s="53">
        <f>CHOOSE(MOD(ROW()-2,26)+1,
"D20","D21","D28","D29","D81","E21","E31","E51","E61","E62","E73","E83","F01","F11","F12","G12","H41","E01","I21","I41","E91","E92","E23","E81","D22","D20")</f>
        <v/>
      </c>
      <c r="D81" s="54">
        <f>CHOOSE(MOD(ROW()-2,25)+1,
"BNF","BND","BNN","BNS","BIA",
"BUK","BIR","BBE","BNL","BNL",
"BFR","BIG","BSW","BIT","BIT",
"BES","BPT","BIE","BPL1","BCZ1",
"BAT","BAT","BUK","BIG","BND")</f>
        <v/>
      </c>
      <c r="E81" s="59">
        <f>"01"</f>
        <v/>
      </c>
      <c r="F81" s="54">
        <f>CHOOSE(MOD(ROW()-2,25)+1,
"D20","D21","D28","D29","D81",
"E21","E31","E51","E61","E62",
"E73","E83","F01","F11","F12",
"G12","H41","E01","E92","E92",
"E92","E92","E21","E83","D22")</f>
        <v/>
      </c>
      <c r="G81" s="48">
        <f t="array" ref="G81">INDEX('BIE Creation Sheet'!X:X,INT((ROW()-2)/25)+2)</f>
        <v/>
      </c>
      <c r="H81" s="64">
        <f t="array" ref="H81">INDEX('BIE Creation Sheet'!R:R,INT((ROW()-2)/25)+2)</f>
        <v/>
      </c>
      <c r="I81" s="54">
        <f>CHOOSE(MOD(ROW()-2,25)+1,
"FI","DK","SV","NO","DE",
"GB","IR","BE","NL","NL",
"FR","DE","CH","IT","IT",
"ES","PT","GB","PL","CZ",
"AT","AT","GB","DE","DK")</f>
        <v/>
      </c>
      <c r="J81" s="0">
        <f>0.01</f>
        <v/>
      </c>
    </row>
    <row r="82" ht="15.9" customHeight="1" s="1">
      <c r="A82" s="42" t="n"/>
      <c r="B82" s="68">
        <f t="array" ref="B82">INDEX('BIE Creation Sheet'!L:L,INT((ROW()-2)/25)+2)</f>
        <v/>
      </c>
      <c r="C82" s="53">
        <f>CHOOSE(MOD(ROW()-2,26)+1,
"D20","D21","D28","D29","D81","E21","E31","E51","E61","E62","E73","E83","F01","F11","F12","G12","H41","E01","I21","I41","E91","E92","E23","E81","D22","D20")</f>
        <v/>
      </c>
      <c r="D82" s="54">
        <f>CHOOSE(MOD(ROW()-2,25)+1,
"BNF","BND","BNN","BNS","BIA",
"BUK","BIR","BBE","BNL","BNL",
"BFR","BIG","BSW","BIT","BIT",
"BES","BPT","BIE","BPL1","BCZ1",
"BAT","BAT","BUK","BIG","BND")</f>
        <v/>
      </c>
      <c r="E82" s="59">
        <f>"01"</f>
        <v/>
      </c>
      <c r="F82" s="54">
        <f>CHOOSE(MOD(ROW()-2,25)+1,
"D20","D21","D28","D29","D81",
"E21","E31","E51","E61","E62",
"E73","E83","F01","F11","F12",
"G12","H41","E01","E92","E92",
"E92","E92","E21","E83","D22")</f>
        <v/>
      </c>
      <c r="G82" s="48">
        <f t="array" ref="G82">INDEX('BIE Creation Sheet'!X:X,INT((ROW()-2)/25)+2)</f>
        <v/>
      </c>
      <c r="H82" s="64">
        <f t="array" ref="H82">INDEX('BIE Creation Sheet'!R:R,INT((ROW()-2)/25)+2)</f>
        <v/>
      </c>
      <c r="I82" s="54">
        <f>CHOOSE(MOD(ROW()-2,25)+1,
"FI","DK","SV","NO","DE",
"GB","IR","BE","NL","NL",
"FR","DE","CH","IT","IT",
"ES","PT","GB","PL","CZ",
"AT","AT","GB","DE","DK")</f>
        <v/>
      </c>
      <c r="J82" s="0">
        <f>0.01</f>
        <v/>
      </c>
    </row>
    <row r="83" ht="15.9" customHeight="1" s="1">
      <c r="A83" s="42" t="n"/>
      <c r="B83" s="68">
        <f t="array" ref="B83">INDEX('BIE Creation Sheet'!L:L,INT((ROW()-2)/25)+2)</f>
        <v/>
      </c>
      <c r="C83" s="53">
        <f>CHOOSE(MOD(ROW()-2,26)+1,
"D20","D21","D28","D29","D81","E21","E31","E51","E61","E62","E73","E83","F01","F11","F12","G12","H41","E01","I21","I41","E91","E92","E23","E81","D22","D20")</f>
        <v/>
      </c>
      <c r="D83" s="54">
        <f>CHOOSE(MOD(ROW()-2,25)+1,
"BNF","BND","BNN","BNS","BIA",
"BUK","BIR","BBE","BNL","BNL",
"BFR","BIG","BSW","BIT","BIT",
"BES","BPT","BIE","BPL1","BCZ1",
"BAT","BAT","BUK","BIG","BND")</f>
        <v/>
      </c>
      <c r="E83" s="59">
        <f>"01"</f>
        <v/>
      </c>
      <c r="F83" s="54">
        <f>CHOOSE(MOD(ROW()-2,25)+1,
"D20","D21","D28","D29","D81",
"E21","E31","E51","E61","E62",
"E73","E83","F01","F11","F12",
"G12","H41","E01","E92","E92",
"E92","E92","E21","E83","D22")</f>
        <v/>
      </c>
      <c r="G83" s="48">
        <f t="array" ref="G83">INDEX('BIE Creation Sheet'!X:X,INT((ROW()-2)/25)+2)</f>
        <v/>
      </c>
      <c r="H83" s="64">
        <f t="array" ref="H83">INDEX('BIE Creation Sheet'!R:R,INT((ROW()-2)/25)+2)</f>
        <v/>
      </c>
      <c r="I83" s="54">
        <f>CHOOSE(MOD(ROW()-2,25)+1,
"FI","DK","SV","NO","DE",
"GB","IR","BE","NL","NL",
"FR","DE","CH","IT","IT",
"ES","PT","GB","PL","CZ",
"AT","AT","GB","DE","DK")</f>
        <v/>
      </c>
      <c r="J83" s="0">
        <f>0.01</f>
        <v/>
      </c>
    </row>
    <row r="84" ht="15.9" customHeight="1" s="1">
      <c r="A84" s="42" t="n"/>
      <c r="B84" s="68">
        <f t="array" ref="B84">INDEX('BIE Creation Sheet'!L:L,INT((ROW()-2)/25)+2)</f>
        <v/>
      </c>
      <c r="C84" s="53">
        <f>CHOOSE(MOD(ROW()-2,26)+1,
"D20","D21","D28","D29","D81","E21","E31","E51","E61","E62","E73","E83","F01","F11","F12","G12","H41","E01","I21","I41","E91","E92","E23","E81","D22","D20")</f>
        <v/>
      </c>
      <c r="D84" s="54">
        <f>CHOOSE(MOD(ROW()-2,25)+1,
"BNF","BND","BNN","BNS","BIA",
"BUK","BIR","BBE","BNL","BNL",
"BFR","BIG","BSW","BIT","BIT",
"BES","BPT","BIE","BPL1","BCZ1",
"BAT","BAT","BUK","BIG","BND")</f>
        <v/>
      </c>
      <c r="E84" s="59">
        <f>"01"</f>
        <v/>
      </c>
      <c r="F84" s="54">
        <f>CHOOSE(MOD(ROW()-2,25)+1,
"D20","D21","D28","D29","D81",
"E21","E31","E51","E61","E62",
"E73","E83","F01","F11","F12",
"G12","H41","E01","E92","E92",
"E92","E92","E21","E83","D22")</f>
        <v/>
      </c>
      <c r="G84" s="48">
        <f t="array" ref="G84">INDEX('BIE Creation Sheet'!X:X,INT((ROW()-2)/25)+2)</f>
        <v/>
      </c>
      <c r="H84" s="64">
        <f t="array" ref="H84">INDEX('BIE Creation Sheet'!R:R,INT((ROW()-2)/25)+2)</f>
        <v/>
      </c>
      <c r="I84" s="54">
        <f>CHOOSE(MOD(ROW()-2,25)+1,
"FI","DK","SV","NO","DE",
"GB","IR","BE","NL","NL",
"FR","DE","CH","IT","IT",
"ES","PT","GB","PL","CZ",
"AT","AT","GB","DE","DK")</f>
        <v/>
      </c>
      <c r="J84" s="0">
        <f>0.01</f>
        <v/>
      </c>
    </row>
    <row r="85" ht="15.9" customHeight="1" s="1">
      <c r="A85" s="42" t="n"/>
      <c r="B85" s="68">
        <f t="array" ref="B85">INDEX('BIE Creation Sheet'!L:L,INT((ROW()-2)/25)+2)</f>
        <v/>
      </c>
      <c r="C85" s="53">
        <f>CHOOSE(MOD(ROW()-2,26)+1,
"D20","D21","D28","D29","D81","E21","E31","E51","E61","E62","E73","E83","F01","F11","F12","G12","H41","E01","I21","I41","E91","E92","E23","E81","D22","D20")</f>
        <v/>
      </c>
      <c r="D85" s="54">
        <f>CHOOSE(MOD(ROW()-2,25)+1,
"BNF","BND","BNN","BNS","BIA",
"BUK","BIR","BBE","BNL","BNL",
"BFR","BIG","BSW","BIT","BIT",
"BES","BPT","BIE","BPL1","BCZ1",
"BAT","BAT","BUK","BIG","BND")</f>
        <v/>
      </c>
      <c r="E85" s="59">
        <f>"01"</f>
        <v/>
      </c>
      <c r="F85" s="54">
        <f>CHOOSE(MOD(ROW()-2,25)+1,
"D20","D21","D28","D29","D81",
"E21","E31","E51","E61","E62",
"E73","E83","F01","F11","F12",
"G12","H41","E01","E92","E92",
"E92","E92","E21","E83","D22")</f>
        <v/>
      </c>
      <c r="G85" s="48">
        <f t="array" ref="G85">INDEX('BIE Creation Sheet'!X:X,INT((ROW()-2)/25)+2)</f>
        <v/>
      </c>
      <c r="H85" s="64">
        <f t="array" ref="H85">INDEX('BIE Creation Sheet'!R:R,INT((ROW()-2)/25)+2)</f>
        <v/>
      </c>
      <c r="I85" s="54">
        <f>CHOOSE(MOD(ROW()-2,25)+1,
"FI","DK","SV","NO","DE",
"GB","IR","BE","NL","NL",
"FR","DE","CH","IT","IT",
"ES","PT","GB","PL","CZ",
"AT","AT","GB","DE","DK")</f>
        <v/>
      </c>
      <c r="J85" s="0">
        <f>0.01</f>
        <v/>
      </c>
    </row>
    <row r="86" ht="15.9" customHeight="1" s="1">
      <c r="A86" s="42" t="n"/>
      <c r="B86" s="68">
        <f t="array" ref="B86">INDEX('BIE Creation Sheet'!L:L,INT((ROW()-2)/25)+2)</f>
        <v/>
      </c>
      <c r="C86" s="53">
        <f>CHOOSE(MOD(ROW()-2,26)+1,
"D20","D21","D28","D29","D81","E21","E31","E51","E61","E62","E73","E83","F01","F11","F12","G12","H41","E01","I21","I41","E91","E92","E23","E81","D22","D20")</f>
        <v/>
      </c>
      <c r="D86" s="54">
        <f>CHOOSE(MOD(ROW()-2,25)+1,
"BNF","BND","BNN","BNS","BIA",
"BUK","BIR","BBE","BNL","BNL",
"BFR","BIG","BSW","BIT","BIT",
"BES","BPT","BIE","BPL1","BCZ1",
"BAT","BAT","BUK","BIG","BND")</f>
        <v/>
      </c>
      <c r="E86" s="59">
        <f>"01"</f>
        <v/>
      </c>
      <c r="F86" s="54">
        <f>CHOOSE(MOD(ROW()-2,25)+1,
"D20","D21","D28","D29","D81",
"E21","E31","E51","E61","E62",
"E73","E83","F01","F11","F12",
"G12","H41","E01","E92","E92",
"E92","E92","E21","E83","D22")</f>
        <v/>
      </c>
      <c r="G86" s="48">
        <f t="array" ref="G86">INDEX('BIE Creation Sheet'!X:X,INT((ROW()-2)/25)+2)</f>
        <v/>
      </c>
      <c r="H86" s="64">
        <f t="array" ref="H86">INDEX('BIE Creation Sheet'!R:R,INT((ROW()-2)/25)+2)</f>
        <v/>
      </c>
      <c r="I86" s="54">
        <f>CHOOSE(MOD(ROW()-2,25)+1,
"FI","DK","SV","NO","DE",
"GB","IR","BE","NL","NL",
"FR","DE","CH","IT","IT",
"ES","PT","GB","PL","CZ",
"AT","AT","GB","DE","DK")</f>
        <v/>
      </c>
      <c r="J86" s="0">
        <f>0.01</f>
        <v/>
      </c>
    </row>
    <row r="87" ht="15.9" customHeight="1" s="1">
      <c r="A87" s="42" t="n"/>
      <c r="B87" s="68">
        <f t="array" ref="B87">INDEX('BIE Creation Sheet'!L:L,INT((ROW()-2)/25)+2)</f>
        <v/>
      </c>
      <c r="C87" s="53">
        <f>CHOOSE(MOD(ROW()-2,26)+1,
"D20","D21","D28","D29","D81","E21","E31","E51","E61","E62","E73","E83","F01","F11","F12","G12","H41","E01","I21","I41","E91","E92","E23","E81","D22","D20")</f>
        <v/>
      </c>
      <c r="D87" s="54">
        <f>CHOOSE(MOD(ROW()-2,25)+1,
"BNF","BND","BNN","BNS","BIA",
"BUK","BIR","BBE","BNL","BNL",
"BFR","BIG","BSW","BIT","BIT",
"BES","BPT","BIE","BPL1","BCZ1",
"BAT","BAT","BUK","BIG","BND")</f>
        <v/>
      </c>
      <c r="E87" s="59">
        <f>"01"</f>
        <v/>
      </c>
      <c r="F87" s="54">
        <f>CHOOSE(MOD(ROW()-2,25)+1,
"D20","D21","D28","D29","D81",
"E21","E31","E51","E61","E62",
"E73","E83","F01","F11","F12",
"G12","H41","E01","E92","E92",
"E92","E92","E21","E83","D22")</f>
        <v/>
      </c>
      <c r="G87" s="48">
        <f t="array" ref="G87">INDEX('BIE Creation Sheet'!X:X,INT((ROW()-2)/25)+2)</f>
        <v/>
      </c>
      <c r="H87" s="64">
        <f t="array" ref="H87">INDEX('BIE Creation Sheet'!R:R,INT((ROW()-2)/25)+2)</f>
        <v/>
      </c>
      <c r="I87" s="54">
        <f>CHOOSE(MOD(ROW()-2,25)+1,
"FI","DK","SV","NO","DE",
"GB","IR","BE","NL","NL",
"FR","DE","CH","IT","IT",
"ES","PT","GB","PL","CZ",
"AT","AT","GB","DE","DK")</f>
        <v/>
      </c>
      <c r="J87" s="0">
        <f>0.01</f>
        <v/>
      </c>
    </row>
    <row r="88" ht="15.9" customHeight="1" s="1">
      <c r="A88" s="42" t="n"/>
      <c r="B88" s="68">
        <f t="array" ref="B88">INDEX('BIE Creation Sheet'!L:L,INT((ROW()-2)/25)+2)</f>
        <v/>
      </c>
      <c r="C88" s="53">
        <f>CHOOSE(MOD(ROW()-2,26)+1,
"D20","D21","D28","D29","D81","E21","E31","E51","E61","E62","E73","E83","F01","F11","F12","G12","H41","E01","I21","I41","E91","E92","E23","E81","D22","D20")</f>
        <v/>
      </c>
      <c r="D88" s="54">
        <f>CHOOSE(MOD(ROW()-2,25)+1,
"BNF","BND","BNN","BNS","BIA",
"BUK","BIR","BBE","BNL","BNL",
"BFR","BIG","BSW","BIT","BIT",
"BES","BPT","BIE","BPL1","BCZ1",
"BAT","BAT","BUK","BIG","BND")</f>
        <v/>
      </c>
      <c r="E88" s="59">
        <f>"01"</f>
        <v/>
      </c>
      <c r="F88" s="54">
        <f>CHOOSE(MOD(ROW()-2,25)+1,
"D20","D21","D28","D29","D81",
"E21","E31","E51","E61","E62",
"E73","E83","F01","F11","F12",
"G12","H41","E01","E92","E92",
"E92","E92","E21","E83","D22")</f>
        <v/>
      </c>
      <c r="G88" s="48">
        <f t="array" ref="G88">INDEX('BIE Creation Sheet'!X:X,INT((ROW()-2)/25)+2)</f>
        <v/>
      </c>
      <c r="H88" s="64">
        <f t="array" ref="H88">INDEX('BIE Creation Sheet'!R:R,INT((ROW()-2)/25)+2)</f>
        <v/>
      </c>
      <c r="I88" s="54">
        <f>CHOOSE(MOD(ROW()-2,25)+1,
"FI","DK","SV","NO","DE",
"GB","IR","BE","NL","NL",
"FR","DE","CH","IT","IT",
"ES","PT","GB","PL","CZ",
"AT","AT","GB","DE","DK")</f>
        <v/>
      </c>
      <c r="J88" s="0">
        <f>0.01</f>
        <v/>
      </c>
    </row>
    <row r="89" ht="15.9" customHeight="1" s="1">
      <c r="A89" s="42" t="n"/>
      <c r="B89" s="68">
        <f t="array" ref="B89">INDEX('BIE Creation Sheet'!L:L,INT((ROW()-2)/25)+2)</f>
        <v/>
      </c>
      <c r="C89" s="53">
        <f>CHOOSE(MOD(ROW()-2,26)+1,
"D20","D21","D28","D29","D81","E21","E31","E51","E61","E62","E73","E83","F01","F11","F12","G12","H41","E01","I21","I41","E91","E92","E23","E81","D22","D20")</f>
        <v/>
      </c>
      <c r="D89" s="54">
        <f>CHOOSE(MOD(ROW()-2,25)+1,
"BNF","BND","BNN","BNS","BIA",
"BUK","BIR","BBE","BNL","BNL",
"BFR","BIG","BSW","BIT","BIT",
"BES","BPT","BIE","BPL1","BCZ1",
"BAT","BAT","BUK","BIG","BND")</f>
        <v/>
      </c>
      <c r="E89" s="59">
        <f>"01"</f>
        <v/>
      </c>
      <c r="F89" s="54">
        <f>CHOOSE(MOD(ROW()-2,25)+1,
"D20","D21","D28","D29","D81",
"E21","E31","E51","E61","E62",
"E73","E83","F01","F11","F12",
"G12","H41","E01","E92","E92",
"E92","E92","E21","E83","D22")</f>
        <v/>
      </c>
      <c r="G89" s="48">
        <f t="array" ref="G89">INDEX('BIE Creation Sheet'!X:X,INT((ROW()-2)/25)+2)</f>
        <v/>
      </c>
      <c r="H89" s="64">
        <f t="array" ref="H89">INDEX('BIE Creation Sheet'!R:R,INT((ROW()-2)/25)+2)</f>
        <v/>
      </c>
      <c r="I89" s="54">
        <f>CHOOSE(MOD(ROW()-2,25)+1,
"FI","DK","SV","NO","DE",
"GB","IR","BE","NL","NL",
"FR","DE","CH","IT","IT",
"ES","PT","GB","PL","CZ",
"AT","AT","GB","DE","DK")</f>
        <v/>
      </c>
      <c r="J89" s="0">
        <f>0.01</f>
        <v/>
      </c>
    </row>
    <row r="90" ht="15.9" customHeight="1" s="1">
      <c r="A90" s="42" t="n"/>
      <c r="B90" s="68">
        <f t="array" ref="B90">INDEX('BIE Creation Sheet'!L:L,INT((ROW()-2)/25)+2)</f>
        <v/>
      </c>
      <c r="C90" s="53">
        <f>CHOOSE(MOD(ROW()-2,26)+1,
"D20","D21","D28","D29","D81","E21","E31","E51","E61","E62","E73","E83","F01","F11","F12","G12","H41","E01","I21","I41","E91","E92","E23","E81","D22","D20")</f>
        <v/>
      </c>
      <c r="D90" s="54">
        <f>CHOOSE(MOD(ROW()-2,25)+1,
"BNF","BND","BNN","BNS","BIA",
"BUK","BIR","BBE","BNL","BNL",
"BFR","BIG","BSW","BIT","BIT",
"BES","BPT","BIE","BPL1","BCZ1",
"BAT","BAT","BUK","BIG","BND")</f>
        <v/>
      </c>
      <c r="E90" s="59">
        <f>"01"</f>
        <v/>
      </c>
      <c r="F90" s="54">
        <f>CHOOSE(MOD(ROW()-2,25)+1,
"D20","D21","D28","D29","D81",
"E21","E31","E51","E61","E62",
"E73","E83","F01","F11","F12",
"G12","H41","E01","E92","E92",
"E92","E92","E21","E83","D22")</f>
        <v/>
      </c>
      <c r="G90" s="48">
        <f t="array" ref="G90">INDEX('BIE Creation Sheet'!X:X,INT((ROW()-2)/25)+2)</f>
        <v/>
      </c>
      <c r="H90" s="64">
        <f t="array" ref="H90">INDEX('BIE Creation Sheet'!R:R,INT((ROW()-2)/25)+2)</f>
        <v/>
      </c>
      <c r="I90" s="54">
        <f>CHOOSE(MOD(ROW()-2,25)+1,
"FI","DK","SV","NO","DE",
"GB","IR","BE","NL","NL",
"FR","DE","CH","IT","IT",
"ES","PT","GB","PL","CZ",
"AT","AT","GB","DE","DK")</f>
        <v/>
      </c>
      <c r="J90" s="0">
        <f>0.01</f>
        <v/>
      </c>
    </row>
    <row r="91" ht="15.9" customHeight="1" s="1">
      <c r="A91" s="42" t="n"/>
      <c r="B91" s="68">
        <f t="array" ref="B91">INDEX('BIE Creation Sheet'!L:L,INT((ROW()-2)/25)+2)</f>
        <v/>
      </c>
      <c r="C91" s="53">
        <f>CHOOSE(MOD(ROW()-2,26)+1,
"D20","D21","D28","D29","D81","E21","E31","E51","E61","E62","E73","E83","F01","F11","F12","G12","H41","E01","I21","I41","E91","E92","E23","E81","D22","D20")</f>
        <v/>
      </c>
      <c r="D91" s="54">
        <f>CHOOSE(MOD(ROW()-2,25)+1,
"BNF","BND","BNN","BNS","BIA",
"BUK","BIR","BBE","BNL","BNL",
"BFR","BIG","BSW","BIT","BIT",
"BES","BPT","BIE","BPL1","BCZ1",
"BAT","BAT","BUK","BIG","BND")</f>
        <v/>
      </c>
      <c r="E91" s="59">
        <f>"01"</f>
        <v/>
      </c>
      <c r="F91" s="54">
        <f>CHOOSE(MOD(ROW()-2,25)+1,
"D20","D21","D28","D29","D81",
"E21","E31","E51","E61","E62",
"E73","E83","F01","F11","F12",
"G12","H41","E01","E92","E92",
"E92","E92","E21","E83","D22")</f>
        <v/>
      </c>
      <c r="G91" s="48">
        <f t="array" ref="G91">INDEX('BIE Creation Sheet'!X:X,INT((ROW()-2)/25)+2)</f>
        <v/>
      </c>
      <c r="H91" s="64">
        <f t="array" ref="H91">INDEX('BIE Creation Sheet'!R:R,INT((ROW()-2)/25)+2)</f>
        <v/>
      </c>
      <c r="I91" s="54">
        <f>CHOOSE(MOD(ROW()-2,25)+1,
"FI","DK","SV","NO","DE",
"GB","IR","BE","NL","NL",
"FR","DE","CH","IT","IT",
"ES","PT","GB","PL","CZ",
"AT","AT","GB","DE","DK")</f>
        <v/>
      </c>
      <c r="J91" s="0">
        <f>0.01</f>
        <v/>
      </c>
    </row>
    <row r="92" ht="15.9" customHeight="1" s="1">
      <c r="A92" s="42" t="n"/>
      <c r="B92" s="68">
        <f t="array" ref="B92">INDEX('BIE Creation Sheet'!L:L,INT((ROW()-2)/25)+2)</f>
        <v/>
      </c>
      <c r="C92" s="53">
        <f>CHOOSE(MOD(ROW()-2,26)+1,
"D20","D21","D28","D29","D81","E21","E31","E51","E61","E62","E73","E83","F01","F11","F12","G12","H41","E01","I21","I41","E91","E92","E23","E81","D22","D20")</f>
        <v/>
      </c>
      <c r="D92" s="54">
        <f>CHOOSE(MOD(ROW()-2,25)+1,
"BNF","BND","BNN","BNS","BIA",
"BUK","BIR","BBE","BNL","BNL",
"BFR","BIG","BSW","BIT","BIT",
"BES","BPT","BIE","BPL1","BCZ1",
"BAT","BAT","BUK","BIG","BND")</f>
        <v/>
      </c>
      <c r="E92" s="59">
        <f>"01"</f>
        <v/>
      </c>
      <c r="F92" s="54">
        <f>CHOOSE(MOD(ROW()-2,25)+1,
"D20","D21","D28","D29","D81",
"E21","E31","E51","E61","E62",
"E73","E83","F01","F11","F12",
"G12","H41","E01","E92","E92",
"E92","E92","E21","E83","D22")</f>
        <v/>
      </c>
      <c r="G92" s="48">
        <f t="array" ref="G92">INDEX('BIE Creation Sheet'!X:X,INT((ROW()-2)/25)+2)</f>
        <v/>
      </c>
      <c r="H92" s="64">
        <f t="array" ref="H92">INDEX('BIE Creation Sheet'!R:R,INT((ROW()-2)/25)+2)</f>
        <v/>
      </c>
      <c r="I92" s="54">
        <f>CHOOSE(MOD(ROW()-2,25)+1,
"FI","DK","SV","NO","DE",
"GB","IR","BE","NL","NL",
"FR","DE","CH","IT","IT",
"ES","PT","GB","PL","CZ",
"AT","AT","GB","DE","DK")</f>
        <v/>
      </c>
      <c r="J92" s="0">
        <f>0.01</f>
        <v/>
      </c>
    </row>
    <row r="93" ht="15.9" customHeight="1" s="1">
      <c r="A93" s="42" t="n"/>
      <c r="B93" s="68">
        <f t="array" ref="B93">INDEX('BIE Creation Sheet'!L:L,INT((ROW()-2)/25)+2)</f>
        <v/>
      </c>
      <c r="C93" s="53">
        <f>CHOOSE(MOD(ROW()-2,26)+1,
"D20","D21","D28","D29","D81","E21","E31","E51","E61","E62","E73","E83","F01","F11","F12","G12","H41","E01","I21","I41","E91","E92","E23","E81","D22","D20")</f>
        <v/>
      </c>
      <c r="D93" s="54">
        <f>CHOOSE(MOD(ROW()-2,25)+1,
"BNF","BND","BNN","BNS","BIA",
"BUK","BIR","BBE","BNL","BNL",
"BFR","BIG","BSW","BIT","BIT",
"BES","BPT","BIE","BPL1","BCZ1",
"BAT","BAT","BUK","BIG","BND")</f>
        <v/>
      </c>
      <c r="E93" s="59">
        <f>"01"</f>
        <v/>
      </c>
      <c r="F93" s="54">
        <f>CHOOSE(MOD(ROW()-2,25)+1,
"D20","D21","D28","D29","D81",
"E21","E31","E51","E61","E62",
"E73","E83","F01","F11","F12",
"G12","H41","E01","E92","E92",
"E92","E92","E21","E83","D22")</f>
        <v/>
      </c>
      <c r="G93" s="48">
        <f t="array" ref="G93">INDEX('BIE Creation Sheet'!X:X,INT((ROW()-2)/25)+2)</f>
        <v/>
      </c>
      <c r="H93" s="64">
        <f t="array" ref="H93">INDEX('BIE Creation Sheet'!R:R,INT((ROW()-2)/25)+2)</f>
        <v/>
      </c>
      <c r="I93" s="54">
        <f>CHOOSE(MOD(ROW()-2,25)+1,
"FI","DK","SV","NO","DE",
"GB","IR","BE","NL","NL",
"FR","DE","CH","IT","IT",
"ES","PT","GB","PL","CZ",
"AT","AT","GB","DE","DK")</f>
        <v/>
      </c>
      <c r="J93" s="0">
        <f>0.01</f>
        <v/>
      </c>
    </row>
    <row r="94" ht="15.9" customHeight="1" s="1">
      <c r="A94" s="42" t="n"/>
      <c r="B94" s="68">
        <f t="array" ref="B94">INDEX('BIE Creation Sheet'!L:L,INT((ROW()-2)/25)+2)</f>
        <v/>
      </c>
      <c r="C94" s="53">
        <f>CHOOSE(MOD(ROW()-2,26)+1,
"D20","D21","D28","D29","D81","E21","E31","E51","E61","E62","E73","E83","F01","F11","F12","G12","H41","E01","I21","I41","E91","E92","E23","E81","D22","D20")</f>
        <v/>
      </c>
      <c r="D94" s="54">
        <f>CHOOSE(MOD(ROW()-2,25)+1,
"BNF","BND","BNN","BNS","BIA",
"BUK","BIR","BBE","BNL","BNL",
"BFR","BIG","BSW","BIT","BIT",
"BES","BPT","BIE","BPL1","BCZ1",
"BAT","BAT","BUK","BIG","BND")</f>
        <v/>
      </c>
      <c r="E94" s="59">
        <f>"01"</f>
        <v/>
      </c>
      <c r="F94" s="54">
        <f>CHOOSE(MOD(ROW()-2,25)+1,
"D20","D21","D28","D29","D81",
"E21","E31","E51","E61","E62",
"E73","E83","F01","F11","F12",
"G12","H41","E01","E92","E92",
"E92","E92","E21","E83","D22")</f>
        <v/>
      </c>
      <c r="G94" s="48">
        <f t="array" ref="G94">INDEX('BIE Creation Sheet'!X:X,INT((ROW()-2)/25)+2)</f>
        <v/>
      </c>
      <c r="H94" s="64">
        <f t="array" ref="H94">INDEX('BIE Creation Sheet'!R:R,INT((ROW()-2)/25)+2)</f>
        <v/>
      </c>
      <c r="I94" s="54">
        <f>CHOOSE(MOD(ROW()-2,25)+1,
"FI","DK","SV","NO","DE",
"GB","IR","BE","NL","NL",
"FR","DE","CH","IT","IT",
"ES","PT","GB","PL","CZ",
"AT","AT","GB","DE","DK")</f>
        <v/>
      </c>
      <c r="J94" s="0">
        <f>0.01</f>
        <v/>
      </c>
    </row>
    <row r="95" ht="15.9" customHeight="1" s="1">
      <c r="A95" s="42" t="n"/>
      <c r="B95" s="68">
        <f t="array" ref="B95">INDEX('BIE Creation Sheet'!L:L,INT((ROW()-2)/25)+2)</f>
        <v/>
      </c>
      <c r="C95" s="53">
        <f>CHOOSE(MOD(ROW()-2,26)+1,
"D20","D21","D28","D29","D81","E21","E31","E51","E61","E62","E73","E83","F01","F11","F12","G12","H41","E01","I21","I41","E91","E92","E23","E81","D22","D20")</f>
        <v/>
      </c>
      <c r="D95" s="54">
        <f>CHOOSE(MOD(ROW()-2,25)+1,
"BNF","BND","BNN","BNS","BIA",
"BUK","BIR","BBE","BNL","BNL",
"BFR","BIG","BSW","BIT","BIT",
"BES","BPT","BIE","BPL1","BCZ1",
"BAT","BAT","BUK","BIG","BND")</f>
        <v/>
      </c>
      <c r="E95" s="59">
        <f>"01"</f>
        <v/>
      </c>
      <c r="F95" s="54">
        <f>CHOOSE(MOD(ROW()-2,25)+1,
"D20","D21","D28","D29","D81",
"E21","E31","E51","E61","E62",
"E73","E83","F01","F11","F12",
"G12","H41","E01","E92","E92",
"E92","E92","E21","E83","D22")</f>
        <v/>
      </c>
      <c r="G95" s="48">
        <f t="array" ref="G95">INDEX('BIE Creation Sheet'!X:X,INT((ROW()-2)/25)+2)</f>
        <v/>
      </c>
      <c r="H95" s="64">
        <f t="array" ref="H95">INDEX('BIE Creation Sheet'!R:R,INT((ROW()-2)/25)+2)</f>
        <v/>
      </c>
      <c r="I95" s="54">
        <f>CHOOSE(MOD(ROW()-2,25)+1,
"FI","DK","SV","NO","DE",
"GB","IR","BE","NL","NL",
"FR","DE","CH","IT","IT",
"ES","PT","GB","PL","CZ",
"AT","AT","GB","DE","DK")</f>
        <v/>
      </c>
      <c r="J95" s="0">
        <f>0.01</f>
        <v/>
      </c>
    </row>
    <row r="96" ht="15.9" customHeight="1" s="1">
      <c r="A96" s="42" t="n"/>
      <c r="B96" s="68">
        <f t="array" ref="B96">INDEX('BIE Creation Sheet'!L:L,INT((ROW()-2)/25)+2)</f>
        <v/>
      </c>
      <c r="C96" s="53">
        <f>CHOOSE(MOD(ROW()-2,26)+1,
"D20","D21","D28","D29","D81","E21","E31","E51","E61","E62","E73","E83","F01","F11","F12","G12","H41","E01","I21","I41","E91","E92","E23","E81","D22","D20")</f>
        <v/>
      </c>
      <c r="D96" s="54">
        <f>CHOOSE(MOD(ROW()-2,25)+1,
"BNF","BND","BNN","BNS","BIA",
"BUK","BIR","BBE","BNL","BNL",
"BFR","BIG","BSW","BIT","BIT",
"BES","BPT","BIE","BPL1","BCZ1",
"BAT","BAT","BUK","BIG","BND")</f>
        <v/>
      </c>
      <c r="E96" s="59">
        <f>"01"</f>
        <v/>
      </c>
      <c r="F96" s="54">
        <f>CHOOSE(MOD(ROW()-2,25)+1,
"D20","D21","D28","D29","D81",
"E21","E31","E51","E61","E62",
"E73","E83","F01","F11","F12",
"G12","H41","E01","E92","E92",
"E92","E92","E21","E83","D22")</f>
        <v/>
      </c>
      <c r="G96" s="48">
        <f t="array" ref="G96">INDEX('BIE Creation Sheet'!X:X,INT((ROW()-2)/25)+2)</f>
        <v/>
      </c>
      <c r="H96" s="64">
        <f t="array" ref="H96">INDEX('BIE Creation Sheet'!R:R,INT((ROW()-2)/25)+2)</f>
        <v/>
      </c>
      <c r="I96" s="54">
        <f>CHOOSE(MOD(ROW()-2,25)+1,
"FI","DK","SV","NO","DE",
"GB","IR","BE","NL","NL",
"FR","DE","CH","IT","IT",
"ES","PT","GB","PL","CZ",
"AT","AT","GB","DE","DK")</f>
        <v/>
      </c>
      <c r="J96" s="0">
        <f>0.01</f>
        <v/>
      </c>
    </row>
    <row r="97" ht="15.9" customHeight="1" s="1">
      <c r="A97" s="42" t="n"/>
      <c r="B97" s="68">
        <f t="array" ref="B97">INDEX('BIE Creation Sheet'!L:L,INT((ROW()-2)/25)+2)</f>
        <v/>
      </c>
      <c r="C97" s="53">
        <f>CHOOSE(MOD(ROW()-2,26)+1,
"D20","D21","D28","D29","D81","E21","E31","E51","E61","E62","E73","E83","F01","F11","F12","G12","H41","E01","I21","I41","E91","E92","E23","E81","D22","D20")</f>
        <v/>
      </c>
      <c r="D97" s="54">
        <f>CHOOSE(MOD(ROW()-2,25)+1,
"BNF","BND","BNN","BNS","BIA",
"BUK","BIR","BBE","BNL","BNL",
"BFR","BIG","BSW","BIT","BIT",
"BES","BPT","BIE","BPL1","BCZ1",
"BAT","BAT","BUK","BIG","BND")</f>
        <v/>
      </c>
      <c r="E97" s="59">
        <f>"01"</f>
        <v/>
      </c>
      <c r="F97" s="54">
        <f>CHOOSE(MOD(ROW()-2,25)+1,
"D20","D21","D28","D29","D81",
"E21","E31","E51","E61","E62",
"E73","E83","F01","F11","F12",
"G12","H41","E01","E92","E92",
"E92","E92","E21","E83","D22")</f>
        <v/>
      </c>
      <c r="G97" s="48">
        <f t="array" ref="G97">INDEX('BIE Creation Sheet'!X:X,INT((ROW()-2)/25)+2)</f>
        <v/>
      </c>
      <c r="H97" s="64">
        <f t="array" ref="H97">INDEX('BIE Creation Sheet'!R:R,INT((ROW()-2)/25)+2)</f>
        <v/>
      </c>
      <c r="I97" s="54">
        <f>CHOOSE(MOD(ROW()-2,25)+1,
"FI","DK","SV","NO","DE",
"GB","IR","BE","NL","NL",
"FR","DE","CH","IT","IT",
"ES","PT","GB","PL","CZ",
"AT","AT","GB","DE","DK")</f>
        <v/>
      </c>
      <c r="J97" s="0">
        <f>0.01</f>
        <v/>
      </c>
    </row>
    <row r="98" ht="15.9" customHeight="1" s="1">
      <c r="A98" s="42" t="n"/>
      <c r="B98" s="68">
        <f t="array" ref="B98">INDEX('BIE Creation Sheet'!L:L,INT((ROW()-2)/25)+2)</f>
        <v/>
      </c>
      <c r="C98" s="53">
        <f>CHOOSE(MOD(ROW()-2,26)+1,
"D20","D21","D28","D29","D81","E21","E31","E51","E61","E62","E73","E83","F01","F11","F12","G12","H41","E01","I21","I41","E91","E92","E23","E81","D22","D20")</f>
        <v/>
      </c>
      <c r="D98" s="54">
        <f>CHOOSE(MOD(ROW()-2,25)+1,
"BNF","BND","BNN","BNS","BIA",
"BUK","BIR","BBE","BNL","BNL",
"BFR","BIG","BSW","BIT","BIT",
"BES","BPT","BIE","BPL1","BCZ1",
"BAT","BAT","BUK","BIG","BND")</f>
        <v/>
      </c>
      <c r="E98" s="59">
        <f>"01"</f>
        <v/>
      </c>
      <c r="F98" s="54">
        <f>CHOOSE(MOD(ROW()-2,25)+1,
"D20","D21","D28","D29","D81",
"E21","E31","E51","E61","E62",
"E73","E83","F01","F11","F12",
"G12","H41","E01","E92","E92",
"E92","E92","E21","E83","D22")</f>
        <v/>
      </c>
      <c r="G98" s="48">
        <f t="array" ref="G98">INDEX('BIE Creation Sheet'!X:X,INT((ROW()-2)/25)+2)</f>
        <v/>
      </c>
      <c r="H98" s="64">
        <f t="array" ref="H98">INDEX('BIE Creation Sheet'!R:R,INT((ROW()-2)/25)+2)</f>
        <v/>
      </c>
      <c r="I98" s="54">
        <f>CHOOSE(MOD(ROW()-2,25)+1,
"FI","DK","SV","NO","DE",
"GB","IR","BE","NL","NL",
"FR","DE","CH","IT","IT",
"ES","PT","GB","PL","CZ",
"AT","AT","GB","DE","DK")</f>
        <v/>
      </c>
      <c r="J98" s="0">
        <f>0.01</f>
        <v/>
      </c>
    </row>
    <row r="99" ht="15.9" customHeight="1" s="1">
      <c r="A99" s="42" t="n"/>
      <c r="B99" s="68">
        <f t="array" ref="B99">INDEX('BIE Creation Sheet'!L:L,INT((ROW()-2)/25)+2)</f>
        <v/>
      </c>
      <c r="C99" s="53">
        <f>CHOOSE(MOD(ROW()-2,26)+1,
"D20","D21","D28","D29","D81","E21","E31","E51","E61","E62","E73","E83","F01","F11","F12","G12","H41","E01","I21","I41","E91","E92","E23","E81","D22","D20")</f>
        <v/>
      </c>
      <c r="D99" s="54">
        <f>CHOOSE(MOD(ROW()-2,25)+1,
"BNF","BND","BNN","BNS","BIA",
"BUK","BIR","BBE","BNL","BNL",
"BFR","BIG","BSW","BIT","BIT",
"BES","BPT","BIE","BPL1","BCZ1",
"BAT","BAT","BUK","BIG","BND")</f>
        <v/>
      </c>
      <c r="E99" s="59">
        <f>"01"</f>
        <v/>
      </c>
      <c r="F99" s="54">
        <f>CHOOSE(MOD(ROW()-2,25)+1,
"D20","D21","D28","D29","D81",
"E21","E31","E51","E61","E62",
"E73","E83","F01","F11","F12",
"G12","H41","E01","E92","E92",
"E92","E92","E21","E83","D22")</f>
        <v/>
      </c>
      <c r="G99" s="48">
        <f t="array" ref="G99">INDEX('BIE Creation Sheet'!X:X,INT((ROW()-2)/25)+2)</f>
        <v/>
      </c>
      <c r="H99" s="64">
        <f t="array" ref="H99">INDEX('BIE Creation Sheet'!R:R,INT((ROW()-2)/25)+2)</f>
        <v/>
      </c>
      <c r="I99" s="54">
        <f>CHOOSE(MOD(ROW()-2,25)+1,
"FI","DK","SV","NO","DE",
"GB","IR","BE","NL","NL",
"FR","DE","CH","IT","IT",
"ES","PT","GB","PL","CZ",
"AT","AT","GB","DE","DK")</f>
        <v/>
      </c>
      <c r="J99" s="0">
        <f>0.01</f>
        <v/>
      </c>
    </row>
    <row r="100" ht="15.9" customHeight="1" s="1">
      <c r="A100" s="42" t="n"/>
      <c r="B100" s="68">
        <f t="array" ref="B100">INDEX('BIE Creation Sheet'!L:L,INT((ROW()-2)/25)+2)</f>
        <v/>
      </c>
      <c r="C100" s="53">
        <f>CHOOSE(MOD(ROW()-2,26)+1,
"D20","D21","D28","D29","D81","E21","E31","E51","E61","E62","E73","E83","F01","F11","F12","G12","H41","E01","I21","I41","E91","E92","E23","E81","D22","D20")</f>
        <v/>
      </c>
      <c r="D100" s="54">
        <f>CHOOSE(MOD(ROW()-2,25)+1,
"BNF","BND","BNN","BNS","BIA",
"BUK","BIR","BBE","BNL","BNL",
"BFR","BIG","BSW","BIT","BIT",
"BES","BPT","BIE","BPL1","BCZ1",
"BAT","BAT","BUK","BIG","BND")</f>
        <v/>
      </c>
      <c r="E100" s="59">
        <f>"01"</f>
        <v/>
      </c>
      <c r="F100" s="54">
        <f>CHOOSE(MOD(ROW()-2,25)+1,
"D20","D21","D28","D29","D81",
"E21","E31","E51","E61","E62",
"E73","E83","F01","F11","F12",
"G12","H41","E01","E92","E92",
"E92","E92","E21","E83","D22")</f>
        <v/>
      </c>
      <c r="G100" s="48">
        <f t="array" ref="G100">INDEX('BIE Creation Sheet'!X:X,INT((ROW()-2)/25)+2)</f>
        <v/>
      </c>
      <c r="H100" s="64">
        <f t="array" ref="H100">INDEX('BIE Creation Sheet'!R:R,INT((ROW()-2)/25)+2)</f>
        <v/>
      </c>
      <c r="I100" s="54">
        <f>CHOOSE(MOD(ROW()-2,25)+1,
"FI","DK","SV","NO","DE",
"GB","IR","BE","NL","NL",
"FR","DE","CH","IT","IT",
"ES","PT","GB","PL","CZ",
"AT","AT","GB","DE","DK")</f>
        <v/>
      </c>
      <c r="J100" s="0">
        <f>0.01</f>
        <v/>
      </c>
    </row>
    <row r="101" ht="15.9" customHeight="1" s="1">
      <c r="A101" s="42" t="n"/>
      <c r="B101" s="68">
        <f t="array" ref="B101">INDEX('BIE Creation Sheet'!L:L,INT((ROW()-2)/25)+2)</f>
        <v/>
      </c>
      <c r="C101" s="53">
        <f>CHOOSE(MOD(ROW()-2,26)+1,
"D20","D21","D28","D29","D81","E21","E31","E51","E61","E62","E73","E83","F01","F11","F12","G12","H41","E01","I21","I41","E91","E92","E23","E81","D22","D20")</f>
        <v/>
      </c>
      <c r="D101" s="54">
        <f>CHOOSE(MOD(ROW()-2,25)+1,
"BNF","BND","BNN","BNS","BIA",
"BUK","BIR","BBE","BNL","BNL",
"BFR","BIG","BSW","BIT","BIT",
"BES","BPT","BIE","BPL1","BCZ1",
"BAT","BAT","BUK","BIG","BND")</f>
        <v/>
      </c>
      <c r="E101" s="59">
        <f>"01"</f>
        <v/>
      </c>
      <c r="F101" s="54">
        <f>CHOOSE(MOD(ROW()-2,25)+1,
"D20","D21","D28","D29","D81",
"E21","E31","E51","E61","E62",
"E73","E83","F01","F11","F12",
"G12","H41","E01","E92","E92",
"E92","E92","E21","E83","D22")</f>
        <v/>
      </c>
      <c r="G101" s="48">
        <f t="array" ref="G101">INDEX('BIE Creation Sheet'!X:X,INT((ROW()-2)/25)+2)</f>
        <v/>
      </c>
      <c r="H101" s="64">
        <f t="array" ref="H101">INDEX('BIE Creation Sheet'!R:R,INT((ROW()-2)/25)+2)</f>
        <v/>
      </c>
      <c r="I101" s="54">
        <f>CHOOSE(MOD(ROW()-2,25)+1,
"FI","DK","SV","NO","DE",
"GB","IR","BE","NL","NL",
"FR","DE","CH","IT","IT",
"ES","PT","GB","PL","CZ",
"AT","AT","GB","DE","DK")</f>
        <v/>
      </c>
      <c r="J101" s="0">
        <f>0.01</f>
        <v/>
      </c>
    </row>
    <row r="102" ht="15.9" customHeight="1" s="1">
      <c r="A102" s="42" t="n"/>
      <c r="B102" s="68">
        <f t="array" ref="B102">INDEX('BIE Creation Sheet'!L:L,INT((ROW()-2)/25)+2)</f>
        <v/>
      </c>
      <c r="C102" s="53">
        <f>CHOOSE(MOD(ROW()-2,26)+1,
"D20","D21","D28","D29","D81","E21","E31","E51","E61","E62","E73","E83","F01","F11","F12","G12","H41","E01","I21","I41","E91","E92","E23","E81","D22","D20")</f>
        <v/>
      </c>
      <c r="D102" s="54">
        <f>CHOOSE(MOD(ROW()-2,25)+1,
"BNF","BND","BNN","BNS","BIA",
"BUK","BIR","BBE","BNL","BNL",
"BFR","BIG","BSW","BIT","BIT",
"BES","BPT","BIE","BPL1","BCZ1",
"BAT","BAT","BUK","BIG","BND")</f>
        <v/>
      </c>
      <c r="E102" s="59">
        <f>"01"</f>
        <v/>
      </c>
      <c r="F102" s="54">
        <f>CHOOSE(MOD(ROW()-2,25)+1,
"D20","D21","D28","D29","D81",
"E21","E31","E51","E61","E62",
"E73","E83","F01","F11","F12",
"G12","H41","E01","E92","E92",
"E92","E92","E21","E83","D22")</f>
        <v/>
      </c>
      <c r="G102" s="48">
        <f t="array" ref="G102">INDEX('BIE Creation Sheet'!X:X,INT((ROW()-2)/25)+2)</f>
        <v/>
      </c>
      <c r="H102" s="64">
        <f t="array" ref="H102">INDEX('BIE Creation Sheet'!R:R,INT((ROW()-2)/25)+2)</f>
        <v/>
      </c>
      <c r="I102" s="54">
        <f>CHOOSE(MOD(ROW()-2,25)+1,
"FI","DK","SV","NO","DE",
"GB","IR","BE","NL","NL",
"FR","DE","CH","IT","IT",
"ES","PT","GB","PL","CZ",
"AT","AT","GB","DE","DK")</f>
        <v/>
      </c>
      <c r="J102" s="0">
        <f>0.01</f>
        <v/>
      </c>
    </row>
    <row r="103" ht="15.9" customHeight="1" s="1">
      <c r="A103" s="42" t="n"/>
      <c r="B103" s="68">
        <f t="array" ref="B103">INDEX('BIE Creation Sheet'!L:L,INT((ROW()-2)/25)+2)</f>
        <v/>
      </c>
      <c r="C103" s="53">
        <f>CHOOSE(MOD(ROW()-2,26)+1,
"D20","D21","D28","D29","D81","E21","E31","E51","E61","E62","E73","E83","F01","F11","F12","G12","H41","E01","I21","I41","E91","E92","E23","E81","D22","D20")</f>
        <v/>
      </c>
      <c r="D103" s="54">
        <f>CHOOSE(MOD(ROW()-2,25)+1,
"BNF","BND","BNN","BNS","BIA",
"BUK","BIR","BBE","BNL","BNL",
"BFR","BIG","BSW","BIT","BIT",
"BES","BPT","BIE","BPL1","BCZ1",
"BAT","BAT","BUK","BIG","BND")</f>
        <v/>
      </c>
      <c r="E103" s="59">
        <f>"01"</f>
        <v/>
      </c>
      <c r="F103" s="54">
        <f>CHOOSE(MOD(ROW()-2,25)+1,
"D20","D21","D28","D29","D81",
"E21","E31","E51","E61","E62",
"E73","E83","F01","F11","F12",
"G12","H41","E01","E92","E92",
"E92","E92","E21","E83","D22")</f>
        <v/>
      </c>
      <c r="G103" s="48">
        <f t="array" ref="G103">INDEX('BIE Creation Sheet'!X:X,INT((ROW()-2)/25)+2)</f>
        <v/>
      </c>
      <c r="H103" s="64">
        <f t="array" ref="H103">INDEX('BIE Creation Sheet'!R:R,INT((ROW()-2)/25)+2)</f>
        <v/>
      </c>
      <c r="I103" s="54">
        <f>CHOOSE(MOD(ROW()-2,25)+1,
"FI","DK","SV","NO","DE",
"GB","IR","BE","NL","NL",
"FR","DE","CH","IT","IT",
"ES","PT","GB","PL","CZ",
"AT","AT","GB","DE","DK")</f>
        <v/>
      </c>
      <c r="J103" s="0">
        <f>0.01</f>
        <v/>
      </c>
    </row>
    <row r="104" ht="15.9" customHeight="1" s="1">
      <c r="A104" s="42" t="n"/>
      <c r="B104" s="68">
        <f t="array" ref="B104">INDEX('BIE Creation Sheet'!L:L,INT((ROW()-2)/25)+2)</f>
        <v/>
      </c>
      <c r="C104" s="53">
        <f>CHOOSE(MOD(ROW()-2,26)+1,
"D20","D21","D28","D29","D81","E21","E31","E51","E61","E62","E73","E83","F01","F11","F12","G12","H41","E01","I21","I41","E91","E92","E23","E81","D22","D20")</f>
        <v/>
      </c>
      <c r="D104" s="54">
        <f>CHOOSE(MOD(ROW()-2,25)+1,
"BNF","BND","BNN","BNS","BIA",
"BUK","BIR","BBE","BNL","BNL",
"BFR","BIG","BSW","BIT","BIT",
"BES","BPT","BIE","BPL1","BCZ1",
"BAT","BAT","BUK","BIG","BND")</f>
        <v/>
      </c>
      <c r="E104" s="59">
        <f>"01"</f>
        <v/>
      </c>
      <c r="F104" s="54">
        <f>CHOOSE(MOD(ROW()-2,25)+1,
"D20","D21","D28","D29","D81",
"E21","E31","E51","E61","E62",
"E73","E83","F01","F11","F12",
"G12","H41","E01","E92","E92",
"E92","E92","E21","E83","D22")</f>
        <v/>
      </c>
      <c r="G104" s="48">
        <f t="array" ref="G104">INDEX('BIE Creation Sheet'!X:X,INT((ROW()-2)/25)+2)</f>
        <v/>
      </c>
      <c r="H104" s="64">
        <f t="array" ref="H104">INDEX('BIE Creation Sheet'!R:R,INT((ROW()-2)/25)+2)</f>
        <v/>
      </c>
      <c r="I104" s="54">
        <f>CHOOSE(MOD(ROW()-2,25)+1,
"FI","DK","SV","NO","DE",
"GB","IR","BE","NL","NL",
"FR","DE","CH","IT","IT",
"ES","PT","GB","PL","CZ",
"AT","AT","GB","DE","DK")</f>
        <v/>
      </c>
      <c r="J104" s="0">
        <f>0.01</f>
        <v/>
      </c>
    </row>
    <row r="105" ht="15.9" customHeight="1" s="1">
      <c r="A105" s="42" t="n"/>
      <c r="B105" s="68">
        <f t="array" ref="B105">INDEX('BIE Creation Sheet'!L:L,INT((ROW()-2)/25)+2)</f>
        <v/>
      </c>
      <c r="C105" s="53">
        <f>CHOOSE(MOD(ROW()-2,26)+1,
"D20","D21","D28","D29","D81","E21","E31","E51","E61","E62","E73","E83","F01","F11","F12","G12","H41","E01","I21","I41","E91","E92","E23","E81","D22","D20")</f>
        <v/>
      </c>
      <c r="D105" s="54">
        <f>CHOOSE(MOD(ROW()-2,25)+1,
"BNF","BND","BNN","BNS","BIA",
"BUK","BIR","BBE","BNL","BNL",
"BFR","BIG","BSW","BIT","BIT",
"BES","BPT","BIE","BPL1","BCZ1",
"BAT","BAT","BUK","BIG","BND")</f>
        <v/>
      </c>
      <c r="E105" s="59">
        <f>"01"</f>
        <v/>
      </c>
      <c r="F105" s="54">
        <f>CHOOSE(MOD(ROW()-2,25)+1,
"D20","D21","D28","D29","D81",
"E21","E31","E51","E61","E62",
"E73","E83","F01","F11","F12",
"G12","H41","E01","E92","E92",
"E92","E92","E21","E83","D22")</f>
        <v/>
      </c>
      <c r="G105" s="48">
        <f t="array" ref="G105">INDEX('BIE Creation Sheet'!X:X,INT((ROW()-2)/25)+2)</f>
        <v/>
      </c>
      <c r="H105" s="64">
        <f t="array" ref="H105">INDEX('BIE Creation Sheet'!R:R,INT((ROW()-2)/25)+2)</f>
        <v/>
      </c>
      <c r="I105" s="54">
        <f>CHOOSE(MOD(ROW()-2,25)+1,
"FI","DK","SV","NO","DE",
"GB","IR","BE","NL","NL",
"FR","DE","CH","IT","IT",
"ES","PT","GB","PL","CZ",
"AT","AT","GB","DE","DK")</f>
        <v/>
      </c>
      <c r="J105" s="0">
        <f>0.01</f>
        <v/>
      </c>
    </row>
    <row r="106" ht="15.9" customHeight="1" s="1">
      <c r="A106" s="42" t="n"/>
      <c r="B106" s="68">
        <f t="array" ref="B106">INDEX('BIE Creation Sheet'!L:L,INT((ROW()-2)/25)+2)</f>
        <v/>
      </c>
      <c r="C106" s="53">
        <f>CHOOSE(MOD(ROW()-2,26)+1,
"D20","D21","D28","D29","D81","E21","E31","E51","E61","E62","E73","E83","F01","F11","F12","G12","H41","E01","I21","I41","E91","E92","E23","E81","D22","D20")</f>
        <v/>
      </c>
      <c r="D106" s="54">
        <f>CHOOSE(MOD(ROW()-2,25)+1,
"BNF","BND","BNN","BNS","BIA",
"BUK","BIR","BBE","BNL","BNL",
"BFR","BIG","BSW","BIT","BIT",
"BES","BPT","BIE","BPL1","BCZ1",
"BAT","BAT","BUK","BIG","BND")</f>
        <v/>
      </c>
      <c r="E106" s="59">
        <f>"01"</f>
        <v/>
      </c>
      <c r="F106" s="54">
        <f>CHOOSE(MOD(ROW()-2,25)+1,
"D20","D21","D28","D29","D81",
"E21","E31","E51","E61","E62",
"E73","E83","F01","F11","F12",
"G12","H41","E01","E92","E92",
"E92","E92","E21","E83","D22")</f>
        <v/>
      </c>
      <c r="G106" s="48">
        <f t="array" ref="G106">INDEX('BIE Creation Sheet'!X:X,INT((ROW()-2)/25)+2)</f>
        <v/>
      </c>
      <c r="H106" s="64">
        <f t="array" ref="H106">INDEX('BIE Creation Sheet'!R:R,INT((ROW()-2)/25)+2)</f>
        <v/>
      </c>
      <c r="I106" s="54">
        <f>CHOOSE(MOD(ROW()-2,25)+1,
"FI","DK","SV","NO","DE",
"GB","IR","BE","NL","NL",
"FR","DE","CH","IT","IT",
"ES","PT","GB","PL","CZ",
"AT","AT","GB","DE","DK")</f>
        <v/>
      </c>
      <c r="J106" s="0">
        <f>0.01</f>
        <v/>
      </c>
    </row>
    <row r="107" ht="15.9" customHeight="1" s="1">
      <c r="A107" s="42" t="n"/>
      <c r="B107" s="68">
        <f t="array" ref="B107">INDEX('BIE Creation Sheet'!L:L,INT((ROW()-2)/25)+2)</f>
        <v/>
      </c>
      <c r="C107" s="53">
        <f>CHOOSE(MOD(ROW()-2,26)+1,
"D20","D21","D28","D29","D81","E21","E31","E51","E61","E62","E73","E83","F01","F11","F12","G12","H41","E01","I21","I41","E91","E92","E23","E81","D22","D20")</f>
        <v/>
      </c>
      <c r="D107" s="54">
        <f>CHOOSE(MOD(ROW()-2,25)+1,
"BNF","BND","BNN","BNS","BIA",
"BUK","BIR","BBE","BNL","BNL",
"BFR","BIG","BSW","BIT","BIT",
"BES","BPT","BIE","BPL1","BCZ1",
"BAT","BAT","BUK","BIG","BND")</f>
        <v/>
      </c>
      <c r="E107" s="59">
        <f>"01"</f>
        <v/>
      </c>
      <c r="F107" s="54">
        <f>CHOOSE(MOD(ROW()-2,25)+1,
"D20","D21","D28","D29","D81",
"E21","E31","E51","E61","E62",
"E73","E83","F01","F11","F12",
"G12","H41","E01","E92","E92",
"E92","E92","E21","E83","D22")</f>
        <v/>
      </c>
      <c r="G107" s="48">
        <f t="array" ref="G107">INDEX('BIE Creation Sheet'!X:X,INT((ROW()-2)/25)+2)</f>
        <v/>
      </c>
      <c r="H107" s="64">
        <f t="array" ref="H107">INDEX('BIE Creation Sheet'!R:R,INT((ROW()-2)/25)+2)</f>
        <v/>
      </c>
      <c r="I107" s="54">
        <f>CHOOSE(MOD(ROW()-2,25)+1,
"FI","DK","SV","NO","DE",
"GB","IR","BE","NL","NL",
"FR","DE","CH","IT","IT",
"ES","PT","GB","PL","CZ",
"AT","AT","GB","DE","DK")</f>
        <v/>
      </c>
      <c r="J107" s="0">
        <f>0.01</f>
        <v/>
      </c>
    </row>
    <row r="108" ht="15.9" customHeight="1" s="1">
      <c r="A108" s="42" t="n"/>
      <c r="B108" s="68">
        <f t="array" ref="B108">INDEX('BIE Creation Sheet'!L:L,INT((ROW()-2)/25)+2)</f>
        <v/>
      </c>
      <c r="C108" s="53">
        <f>CHOOSE(MOD(ROW()-2,26)+1,
"D20","D21","D28","D29","D81","E21","E31","E51","E61","E62","E73","E83","F01","F11","F12","G12","H41","E01","I21","I41","E91","E92","E23","E81","D22","D20")</f>
        <v/>
      </c>
      <c r="D108" s="54">
        <f>CHOOSE(MOD(ROW()-2,25)+1,
"BNF","BND","BNN","BNS","BIA",
"BUK","BIR","BBE","BNL","BNL",
"BFR","BIG","BSW","BIT","BIT",
"BES","BPT","BIE","BPL1","BCZ1",
"BAT","BAT","BUK","BIG","BND")</f>
        <v/>
      </c>
      <c r="E108" s="59">
        <f>"01"</f>
        <v/>
      </c>
      <c r="F108" s="54">
        <f>CHOOSE(MOD(ROW()-2,25)+1,
"D20","D21","D28","D29","D81",
"E21","E31","E51","E61","E62",
"E73","E83","F01","F11","F12",
"G12","H41","E01","E92","E92",
"E92","E92","E21","E83","D22")</f>
        <v/>
      </c>
      <c r="G108" s="48">
        <f t="array" ref="G108">INDEX('BIE Creation Sheet'!X:X,INT((ROW()-2)/25)+2)</f>
        <v/>
      </c>
      <c r="H108" s="64">
        <f t="array" ref="H108">INDEX('BIE Creation Sheet'!R:R,INT((ROW()-2)/25)+2)</f>
        <v/>
      </c>
      <c r="I108" s="54">
        <f>CHOOSE(MOD(ROW()-2,25)+1,
"FI","DK","SV","NO","DE",
"GB","IR","BE","NL","NL",
"FR","DE","CH","IT","IT",
"ES","PT","GB","PL","CZ",
"AT","AT","GB","DE","DK")</f>
        <v/>
      </c>
      <c r="J108" s="0">
        <f>0.01</f>
        <v/>
      </c>
    </row>
    <row r="109" ht="15.9" customHeight="1" s="1">
      <c r="A109" s="42" t="n"/>
      <c r="B109" s="68">
        <f t="array" ref="B109">INDEX('BIE Creation Sheet'!L:L,INT((ROW()-2)/25)+2)</f>
        <v/>
      </c>
      <c r="C109" s="53">
        <f>CHOOSE(MOD(ROW()-2,26)+1,
"D20","D21","D28","D29","D81","E21","E31","E51","E61","E62","E73","E83","F01","F11","F12","G12","H41","E01","I21","I41","E91","E92","E23","E81","D22","D20")</f>
        <v/>
      </c>
      <c r="D109" s="54">
        <f>CHOOSE(MOD(ROW()-2,25)+1,
"BNF","BND","BNN","BNS","BIA",
"BUK","BIR","BBE","BNL","BNL",
"BFR","BIG","BSW","BIT","BIT",
"BES","BPT","BIE","BPL1","BCZ1",
"BAT","BAT","BUK","BIG","BND")</f>
        <v/>
      </c>
      <c r="E109" s="59">
        <f>"01"</f>
        <v/>
      </c>
      <c r="F109" s="54">
        <f>CHOOSE(MOD(ROW()-2,25)+1,
"D20","D21","D28","D29","D81",
"E21","E31","E51","E61","E62",
"E73","E83","F01","F11","F12",
"G12","H41","E01","E92","E92",
"E92","E92","E21","E83","D22")</f>
        <v/>
      </c>
      <c r="G109" s="48">
        <f t="array" ref="G109">INDEX('BIE Creation Sheet'!X:X,INT((ROW()-2)/25)+2)</f>
        <v/>
      </c>
      <c r="H109" s="64">
        <f t="array" ref="H109">INDEX('BIE Creation Sheet'!R:R,INT((ROW()-2)/25)+2)</f>
        <v/>
      </c>
      <c r="I109" s="54">
        <f>CHOOSE(MOD(ROW()-2,25)+1,
"FI","DK","SV","NO","DE",
"GB","IR","BE","NL","NL",
"FR","DE","CH","IT","IT",
"ES","PT","GB","PL","CZ",
"AT","AT","GB","DE","DK")</f>
        <v/>
      </c>
      <c r="J109" s="0">
        <f>0.01</f>
        <v/>
      </c>
    </row>
    <row r="110" ht="15.9" customHeight="1" s="1">
      <c r="A110" s="42" t="n"/>
      <c r="B110" s="68">
        <f t="array" ref="B110">INDEX('BIE Creation Sheet'!L:L,INT((ROW()-2)/25)+2)</f>
        <v/>
      </c>
      <c r="C110" s="53">
        <f>CHOOSE(MOD(ROW()-2,26)+1,
"D20","D21","D28","D29","D81","E21","E31","E51","E61","E62","E73","E83","F01","F11","F12","G12","H41","E01","I21","I41","E91","E92","E23","E81","D22","D20")</f>
        <v/>
      </c>
      <c r="D110" s="54">
        <f>CHOOSE(MOD(ROW()-2,25)+1,
"BNF","BND","BNN","BNS","BIA",
"BUK","BIR","BBE","BNL","BNL",
"BFR","BIG","BSW","BIT","BIT",
"BES","BPT","BIE","BPL1","BCZ1",
"BAT","BAT","BUK","BIG","BND")</f>
        <v/>
      </c>
      <c r="E110" s="59">
        <f>"01"</f>
        <v/>
      </c>
      <c r="F110" s="54">
        <f>CHOOSE(MOD(ROW()-2,25)+1,
"D20","D21","D28","D29","D81",
"E21","E31","E51","E61","E62",
"E73","E83","F01","F11","F12",
"G12","H41","E01","E92","E92",
"E92","E92","E21","E83","D22")</f>
        <v/>
      </c>
      <c r="G110" s="48">
        <f t="array" ref="G110">INDEX('BIE Creation Sheet'!X:X,INT((ROW()-2)/25)+2)</f>
        <v/>
      </c>
      <c r="H110" s="64">
        <f t="array" ref="H110">INDEX('BIE Creation Sheet'!R:R,INT((ROW()-2)/25)+2)</f>
        <v/>
      </c>
      <c r="I110" s="54">
        <f>CHOOSE(MOD(ROW()-2,25)+1,
"FI","DK","SV","NO","DE",
"GB","IR","BE","NL","NL",
"FR","DE","CH","IT","IT",
"ES","PT","GB","PL","CZ",
"AT","AT","GB","DE","DK")</f>
        <v/>
      </c>
      <c r="J110" s="0">
        <f>0.01</f>
        <v/>
      </c>
    </row>
    <row r="111" ht="15.9" customHeight="1" s="1">
      <c r="A111" s="42" t="n"/>
      <c r="B111" s="68">
        <f t="array" ref="B111">INDEX('BIE Creation Sheet'!L:L,INT((ROW()-2)/25)+2)</f>
        <v/>
      </c>
      <c r="C111" s="53">
        <f>CHOOSE(MOD(ROW()-2,26)+1,
"D20","D21","D28","D29","D81","E21","E31","E51","E61","E62","E73","E83","F01","F11","F12","G12","H41","E01","I21","I41","E91","E92","E23","E81","D22","D20")</f>
        <v/>
      </c>
      <c r="D111" s="54">
        <f>CHOOSE(MOD(ROW()-2,25)+1,
"BNF","BND","BNN","BNS","BIA",
"BUK","BIR","BBE","BNL","BNL",
"BFR","BIG","BSW","BIT","BIT",
"BES","BPT","BIE","BPL1","BCZ1",
"BAT","BAT","BUK","BIG","BND")</f>
        <v/>
      </c>
      <c r="E111" s="59">
        <f>"01"</f>
        <v/>
      </c>
      <c r="F111" s="54">
        <f>CHOOSE(MOD(ROW()-2,25)+1,
"D20","D21","D28","D29","D81",
"E21","E31","E51","E61","E62",
"E73","E83","F01","F11","F12",
"G12","H41","E01","E92","E92",
"E92","E92","E21","E83","D22")</f>
        <v/>
      </c>
      <c r="G111" s="48">
        <f t="array" ref="G111">INDEX('BIE Creation Sheet'!X:X,INT((ROW()-2)/25)+2)</f>
        <v/>
      </c>
      <c r="H111" s="64">
        <f t="array" ref="H111">INDEX('BIE Creation Sheet'!R:R,INT((ROW()-2)/25)+2)</f>
        <v/>
      </c>
      <c r="I111" s="54">
        <f>CHOOSE(MOD(ROW()-2,25)+1,
"FI","DK","SV","NO","DE",
"GB","IR","BE","NL","NL",
"FR","DE","CH","IT","IT",
"ES","PT","GB","PL","CZ",
"AT","AT","GB","DE","DK")</f>
        <v/>
      </c>
      <c r="J111" s="0">
        <f>0.01</f>
        <v/>
      </c>
    </row>
    <row r="112" ht="15.9" customHeight="1" s="1">
      <c r="A112" s="42" t="n"/>
      <c r="B112" s="68">
        <f t="array" ref="B112">INDEX('BIE Creation Sheet'!L:L,INT((ROW()-2)/25)+2)</f>
        <v/>
      </c>
      <c r="C112" s="53">
        <f>CHOOSE(MOD(ROW()-2,26)+1,
"D20","D21","D28","D29","D81","E21","E31","E51","E61","E62","E73","E83","F01","F11","F12","G12","H41","E01","I21","I41","E91","E92","E23","E81","D22","D20")</f>
        <v/>
      </c>
      <c r="D112" s="54">
        <f>CHOOSE(MOD(ROW()-2,25)+1,
"BNF","BND","BNN","BNS","BIA",
"BUK","BIR","BBE","BNL","BNL",
"BFR","BIG","BSW","BIT","BIT",
"BES","BPT","BIE","BPL1","BCZ1",
"BAT","BAT","BUK","BIG","BND")</f>
        <v/>
      </c>
      <c r="E112" s="59">
        <f>"01"</f>
        <v/>
      </c>
      <c r="F112" s="54">
        <f>CHOOSE(MOD(ROW()-2,25)+1,
"D20","D21","D28","D29","D81",
"E21","E31","E51","E61","E62",
"E73","E83","F01","F11","F12",
"G12","H41","E01","E92","E92",
"E92","E92","E21","E83","D22")</f>
        <v/>
      </c>
      <c r="G112" s="48">
        <f t="array" ref="G112">INDEX('BIE Creation Sheet'!X:X,INT((ROW()-2)/25)+2)</f>
        <v/>
      </c>
      <c r="H112" s="64">
        <f t="array" ref="H112">INDEX('BIE Creation Sheet'!R:R,INT((ROW()-2)/25)+2)</f>
        <v/>
      </c>
      <c r="I112" s="54">
        <f>CHOOSE(MOD(ROW()-2,25)+1,
"FI","DK","SV","NO","DE",
"GB","IR","BE","NL","NL",
"FR","DE","CH","IT","IT",
"ES","PT","GB","PL","CZ",
"AT","AT","GB","DE","DK")</f>
        <v/>
      </c>
      <c r="J112" s="0">
        <f>0.01</f>
        <v/>
      </c>
    </row>
    <row r="113" ht="15.9" customHeight="1" s="1">
      <c r="A113" s="42" t="n"/>
      <c r="B113" s="68">
        <f t="array" ref="B113">INDEX('BIE Creation Sheet'!L:L,INT((ROW()-2)/25)+2)</f>
        <v/>
      </c>
      <c r="C113" s="53">
        <f>CHOOSE(MOD(ROW()-2,26)+1,
"D20","D21","D28","D29","D81","E21","E31","E51","E61","E62","E73","E83","F01","F11","F12","G12","H41","E01","I21","I41","E91","E92","E23","E81","D22","D20")</f>
        <v/>
      </c>
      <c r="D113" s="54">
        <f>CHOOSE(MOD(ROW()-2,25)+1,
"BNF","BND","BNN","BNS","BIA",
"BUK","BIR","BBE","BNL","BNL",
"BFR","BIG","BSW","BIT","BIT",
"BES","BPT","BIE","BPL1","BCZ1",
"BAT","BAT","BUK","BIG","BND")</f>
        <v/>
      </c>
      <c r="E113" s="59">
        <f>"01"</f>
        <v/>
      </c>
      <c r="F113" s="54">
        <f>CHOOSE(MOD(ROW()-2,25)+1,
"D20","D21","D28","D29","D81",
"E21","E31","E51","E61","E62",
"E73","E83","F01","F11","F12",
"G12","H41","E01","E92","E92",
"E92","E92","E21","E83","D22")</f>
        <v/>
      </c>
      <c r="G113" s="48">
        <f t="array" ref="G113">INDEX('BIE Creation Sheet'!X:X,INT((ROW()-2)/25)+2)</f>
        <v/>
      </c>
      <c r="H113" s="64">
        <f t="array" ref="H113">INDEX('BIE Creation Sheet'!R:R,INT((ROW()-2)/25)+2)</f>
        <v/>
      </c>
      <c r="I113" s="54">
        <f>CHOOSE(MOD(ROW()-2,25)+1,
"FI","DK","SV","NO","DE",
"GB","IR","BE","NL","NL",
"FR","DE","CH","IT","IT",
"ES","PT","GB","PL","CZ",
"AT","AT","GB","DE","DK")</f>
        <v/>
      </c>
      <c r="J113" s="0">
        <f>0.01</f>
        <v/>
      </c>
    </row>
    <row r="114" ht="15.9" customHeight="1" s="1">
      <c r="A114" s="42" t="n"/>
      <c r="B114" s="68">
        <f t="array" ref="B114">INDEX('BIE Creation Sheet'!L:L,INT((ROW()-2)/25)+2)</f>
        <v/>
      </c>
      <c r="C114" s="53">
        <f>CHOOSE(MOD(ROW()-2,26)+1,
"D20","D21","D28","D29","D81","E21","E31","E51","E61","E62","E73","E83","F01","F11","F12","G12","H41","E01","I21","I41","E91","E92","E23","E81","D22","D20")</f>
        <v/>
      </c>
      <c r="D114" s="54">
        <f>CHOOSE(MOD(ROW()-2,25)+1,
"BNF","BND","BNN","BNS","BIA",
"BUK","BIR","BBE","BNL","BNL",
"BFR","BIG","BSW","BIT","BIT",
"BES","BPT","BIE","BPL1","BCZ1",
"BAT","BAT","BUK","BIG","BND")</f>
        <v/>
      </c>
      <c r="E114" s="59">
        <f>"01"</f>
        <v/>
      </c>
      <c r="F114" s="54">
        <f>CHOOSE(MOD(ROW()-2,25)+1,
"D20","D21","D28","D29","D81",
"E21","E31","E51","E61","E62",
"E73","E83","F01","F11","F12",
"G12","H41","E01","E92","E92",
"E92","E92","E21","E83","D22")</f>
        <v/>
      </c>
      <c r="G114" s="48">
        <f t="array" ref="G114">INDEX('BIE Creation Sheet'!X:X,INT((ROW()-2)/25)+2)</f>
        <v/>
      </c>
      <c r="H114" s="64">
        <f t="array" ref="H114">INDEX('BIE Creation Sheet'!R:R,INT((ROW()-2)/25)+2)</f>
        <v/>
      </c>
      <c r="I114" s="54">
        <f>CHOOSE(MOD(ROW()-2,25)+1,
"FI","DK","SV","NO","DE",
"GB","IR","BE","NL","NL",
"FR","DE","CH","IT","IT",
"ES","PT","GB","PL","CZ",
"AT","AT","GB","DE","DK")</f>
        <v/>
      </c>
      <c r="J114" s="0">
        <f>0.01</f>
        <v/>
      </c>
    </row>
    <row r="115" ht="15.9" customHeight="1" s="1">
      <c r="A115" s="42" t="n"/>
      <c r="B115" s="68">
        <f t="array" ref="B115">INDEX('BIE Creation Sheet'!L:L,INT((ROW()-2)/25)+2)</f>
        <v/>
      </c>
      <c r="C115" s="53">
        <f>CHOOSE(MOD(ROW()-2,26)+1,
"D20","D21","D28","D29","D81","E21","E31","E51","E61","E62","E73","E83","F01","F11","F12","G12","H41","E01","I21","I41","E91","E92","E23","E81","D22","D20")</f>
        <v/>
      </c>
      <c r="D115" s="54">
        <f>CHOOSE(MOD(ROW()-2,25)+1,
"BNF","BND","BNN","BNS","BIA",
"BUK","BIR","BBE","BNL","BNL",
"BFR","BIG","BSW","BIT","BIT",
"BES","BPT","BIE","BPL1","BCZ1",
"BAT","BAT","BUK","BIG","BND")</f>
        <v/>
      </c>
      <c r="E115" s="59">
        <f>"01"</f>
        <v/>
      </c>
      <c r="F115" s="54">
        <f>CHOOSE(MOD(ROW()-2,25)+1,
"D20","D21","D28","D29","D81",
"E21","E31","E51","E61","E62",
"E73","E83","F01","F11","F12",
"G12","H41","E01","E92","E92",
"E92","E92","E21","E83","D22")</f>
        <v/>
      </c>
      <c r="G115" s="48">
        <f t="array" ref="G115">INDEX('BIE Creation Sheet'!X:X,INT((ROW()-2)/25)+2)</f>
        <v/>
      </c>
      <c r="H115" s="64">
        <f t="array" ref="H115">INDEX('BIE Creation Sheet'!R:R,INT((ROW()-2)/25)+2)</f>
        <v/>
      </c>
      <c r="I115" s="54">
        <f>CHOOSE(MOD(ROW()-2,25)+1,
"FI","DK","SV","NO","DE",
"GB","IR","BE","NL","NL",
"FR","DE","CH","IT","IT",
"ES","PT","GB","PL","CZ",
"AT","AT","GB","DE","DK")</f>
        <v/>
      </c>
      <c r="J115" s="0">
        <f>0.01</f>
        <v/>
      </c>
    </row>
    <row r="116" ht="15.9" customHeight="1" s="1">
      <c r="A116" s="42" t="n"/>
      <c r="B116" s="68">
        <f t="array" ref="B116">INDEX('BIE Creation Sheet'!L:L,INT((ROW()-2)/25)+2)</f>
        <v/>
      </c>
      <c r="C116" s="53">
        <f>CHOOSE(MOD(ROW()-2,26)+1,
"D20","D21","D28","D29","D81","E21","E31","E51","E61","E62","E73","E83","F01","F11","F12","G12","H41","E01","I21","I41","E91","E92","E23","E81","D22","D20")</f>
        <v/>
      </c>
      <c r="D116" s="54">
        <f>CHOOSE(MOD(ROW()-2,25)+1,
"BNF","BND","BNN","BNS","BIA",
"BUK","BIR","BBE","BNL","BNL",
"BFR","BIG","BSW","BIT","BIT",
"BES","BPT","BIE","BPL1","BCZ1",
"BAT","BAT","BUK","BIG","BND")</f>
        <v/>
      </c>
      <c r="E116" s="59">
        <f>"01"</f>
        <v/>
      </c>
      <c r="F116" s="54">
        <f>CHOOSE(MOD(ROW()-2,25)+1,
"D20","D21","D28","D29","D81",
"E21","E31","E51","E61","E62",
"E73","E83","F01","F11","F12",
"G12","H41","E01","E92","E92",
"E92","E92","E21","E83","D22")</f>
        <v/>
      </c>
      <c r="G116" s="48">
        <f t="array" ref="G116">INDEX('BIE Creation Sheet'!X:X,INT((ROW()-2)/25)+2)</f>
        <v/>
      </c>
      <c r="H116" s="64">
        <f t="array" ref="H116">INDEX('BIE Creation Sheet'!R:R,INT((ROW()-2)/25)+2)</f>
        <v/>
      </c>
      <c r="I116" s="54">
        <f>CHOOSE(MOD(ROW()-2,25)+1,
"FI","DK","SV","NO","DE",
"GB","IR","BE","NL","NL",
"FR","DE","CH","IT","IT",
"ES","PT","GB","PL","CZ",
"AT","AT","GB","DE","DK")</f>
        <v/>
      </c>
      <c r="J116" s="0">
        <f>0.01</f>
        <v/>
      </c>
    </row>
    <row r="117" ht="15.9" customHeight="1" s="1">
      <c r="A117" s="42" t="n"/>
      <c r="B117" s="68">
        <f t="array" ref="B117">INDEX('BIE Creation Sheet'!L:L,INT((ROW()-2)/25)+2)</f>
        <v/>
      </c>
      <c r="C117" s="53">
        <f>CHOOSE(MOD(ROW()-2,26)+1,
"D20","D21","D28","D29","D81","E21","E31","E51","E61","E62","E73","E83","F01","F11","F12","G12","H41","E01","I21","I41","E91","E92","E23","E81","D22","D20")</f>
        <v/>
      </c>
      <c r="D117" s="54">
        <f>CHOOSE(MOD(ROW()-2,25)+1,
"BNF","BND","BNN","BNS","BIA",
"BUK","BIR","BBE","BNL","BNL",
"BFR","BIG","BSW","BIT","BIT",
"BES","BPT","BIE","BPL1","BCZ1",
"BAT","BAT","BUK","BIG","BND")</f>
        <v/>
      </c>
      <c r="E117" s="59">
        <f>"01"</f>
        <v/>
      </c>
      <c r="F117" s="54">
        <f>CHOOSE(MOD(ROW()-2,25)+1,
"D20","D21","D28","D29","D81",
"E21","E31","E51","E61","E62",
"E73","E83","F01","F11","F12",
"G12","H41","E01","E92","E92",
"E92","E92","E21","E83","D22")</f>
        <v/>
      </c>
      <c r="G117" s="48">
        <f t="array" ref="G117">INDEX('BIE Creation Sheet'!X:X,INT((ROW()-2)/25)+2)</f>
        <v/>
      </c>
      <c r="H117" s="64">
        <f t="array" ref="H117">INDEX('BIE Creation Sheet'!R:R,INT((ROW()-2)/25)+2)</f>
        <v/>
      </c>
      <c r="I117" s="54">
        <f>CHOOSE(MOD(ROW()-2,25)+1,
"FI","DK","SV","NO","DE",
"GB","IR","BE","NL","NL",
"FR","DE","CH","IT","IT",
"ES","PT","GB","PL","CZ",
"AT","AT","GB","DE","DK")</f>
        <v/>
      </c>
      <c r="J117" s="0">
        <f>0.01</f>
        <v/>
      </c>
    </row>
    <row r="118" ht="15.9" customHeight="1" s="1">
      <c r="A118" s="42" t="n"/>
      <c r="B118" s="68">
        <f t="array" ref="B118">INDEX('BIE Creation Sheet'!L:L,INT((ROW()-2)/25)+2)</f>
        <v/>
      </c>
      <c r="C118" s="53">
        <f>CHOOSE(MOD(ROW()-2,26)+1,
"D20","D21","D28","D29","D81","E21","E31","E51","E61","E62","E73","E83","F01","F11","F12","G12","H41","E01","I21","I41","E91","E92","E23","E81","D22","D20")</f>
        <v/>
      </c>
      <c r="D118" s="54">
        <f>CHOOSE(MOD(ROW()-2,25)+1,
"BNF","BND","BNN","BNS","BIA",
"BUK","BIR","BBE","BNL","BNL",
"BFR","BIG","BSW","BIT","BIT",
"BES","BPT","BIE","BPL1","BCZ1",
"BAT","BAT","BUK","BIG","BND")</f>
        <v/>
      </c>
      <c r="E118" s="59">
        <f>"01"</f>
        <v/>
      </c>
      <c r="F118" s="54">
        <f>CHOOSE(MOD(ROW()-2,25)+1,
"D20","D21","D28","D29","D81",
"E21","E31","E51","E61","E62",
"E73","E83","F01","F11","F12",
"G12","H41","E01","E92","E92",
"E92","E92","E21","E83","D22")</f>
        <v/>
      </c>
      <c r="G118" s="48">
        <f t="array" ref="G118">INDEX('BIE Creation Sheet'!X:X,INT((ROW()-2)/25)+2)</f>
        <v/>
      </c>
      <c r="H118" s="64">
        <f t="array" ref="H118">INDEX('BIE Creation Sheet'!R:R,INT((ROW()-2)/25)+2)</f>
        <v/>
      </c>
      <c r="I118" s="54">
        <f>CHOOSE(MOD(ROW()-2,25)+1,
"FI","DK","SV","NO","DE",
"GB","IR","BE","NL","NL",
"FR","DE","CH","IT","IT",
"ES","PT","GB","PL","CZ",
"AT","AT","GB","DE","DK")</f>
        <v/>
      </c>
      <c r="J118" s="0">
        <f>0.01</f>
        <v/>
      </c>
    </row>
    <row r="119" ht="15.9" customHeight="1" s="1">
      <c r="A119" s="42" t="n"/>
      <c r="B119" s="68">
        <f t="array" ref="B119">INDEX('BIE Creation Sheet'!L:L,INT((ROW()-2)/25)+2)</f>
        <v/>
      </c>
      <c r="C119" s="53">
        <f>CHOOSE(MOD(ROW()-2,26)+1,
"D20","D21","D28","D29","D81","E21","E31","E51","E61","E62","E73","E83","F01","F11","F12","G12","H41","E01","I21","I41","E91","E92","E23","E81","D22","D20")</f>
        <v/>
      </c>
      <c r="D119" s="54">
        <f>CHOOSE(MOD(ROW()-2,25)+1,
"BNF","BND","BNN","BNS","BIA",
"BUK","BIR","BBE","BNL","BNL",
"BFR","BIG","BSW","BIT","BIT",
"BES","BPT","BIE","BPL1","BCZ1",
"BAT","BAT","BUK","BIG","BND")</f>
        <v/>
      </c>
      <c r="E119" s="59">
        <f>"01"</f>
        <v/>
      </c>
      <c r="F119" s="54">
        <f>CHOOSE(MOD(ROW()-2,25)+1,
"D20","D21","D28","D29","D81",
"E21","E31","E51","E61","E62",
"E73","E83","F01","F11","F12",
"G12","H41","E01","E92","E92",
"E92","E92","E21","E83","D22")</f>
        <v/>
      </c>
      <c r="G119" s="48">
        <f t="array" ref="G119">INDEX('BIE Creation Sheet'!X:X,INT((ROW()-2)/25)+2)</f>
        <v/>
      </c>
      <c r="H119" s="64">
        <f t="array" ref="H119">INDEX('BIE Creation Sheet'!R:R,INT((ROW()-2)/25)+2)</f>
        <v/>
      </c>
      <c r="I119" s="54">
        <f>CHOOSE(MOD(ROW()-2,25)+1,
"FI","DK","SV","NO","DE",
"GB","IR","BE","NL","NL",
"FR","DE","CH","IT","IT",
"ES","PT","GB","PL","CZ",
"AT","AT","GB","DE","DK")</f>
        <v/>
      </c>
      <c r="J119" s="0">
        <f>0.01</f>
        <v/>
      </c>
    </row>
    <row r="120" ht="15.9" customHeight="1" s="1">
      <c r="A120" s="42" t="n"/>
      <c r="B120" s="68">
        <f t="array" ref="B120">INDEX('BIE Creation Sheet'!L:L,INT((ROW()-2)/25)+2)</f>
        <v/>
      </c>
      <c r="C120" s="53">
        <f>CHOOSE(MOD(ROW()-2,26)+1,
"D20","D21","D28","D29","D81","E21","E31","E51","E61","E62","E73","E83","F01","F11","F12","G12","H41","E01","I21","I41","E91","E92","E23","E81","D22","D20")</f>
        <v/>
      </c>
      <c r="D120" s="54">
        <f>CHOOSE(MOD(ROW()-2,25)+1,
"BNF","BND","BNN","BNS","BIA",
"BUK","BIR","BBE","BNL","BNL",
"BFR","BIG","BSW","BIT","BIT",
"BES","BPT","BIE","BPL1","BCZ1",
"BAT","BAT","BUK","BIG","BND")</f>
        <v/>
      </c>
      <c r="E120" s="59">
        <f>"01"</f>
        <v/>
      </c>
      <c r="F120" s="54">
        <f>CHOOSE(MOD(ROW()-2,25)+1,
"D20","D21","D28","D29","D81",
"E21","E31","E51","E61","E62",
"E73","E83","F01","F11","F12",
"G12","H41","E01","E92","E92",
"E92","E92","E21","E83","D22")</f>
        <v/>
      </c>
      <c r="G120" s="48">
        <f t="array" ref="G120">INDEX('BIE Creation Sheet'!X:X,INT((ROW()-2)/25)+2)</f>
        <v/>
      </c>
      <c r="H120" s="64">
        <f t="array" ref="H120">INDEX('BIE Creation Sheet'!R:R,INT((ROW()-2)/25)+2)</f>
        <v/>
      </c>
      <c r="I120" s="54">
        <f>CHOOSE(MOD(ROW()-2,25)+1,
"FI","DK","SV","NO","DE",
"GB","IR","BE","NL","NL",
"FR","DE","CH","IT","IT",
"ES","PT","GB","PL","CZ",
"AT","AT","GB","DE","DK")</f>
        <v/>
      </c>
      <c r="J120" s="0">
        <f>0.01</f>
        <v/>
      </c>
    </row>
    <row r="121" ht="15.9" customHeight="1" s="1">
      <c r="A121" s="42" t="n"/>
      <c r="B121" s="68">
        <f t="array" ref="B121">INDEX('BIE Creation Sheet'!L:L,INT((ROW()-2)/25)+2)</f>
        <v/>
      </c>
      <c r="C121" s="53">
        <f>CHOOSE(MOD(ROW()-2,26)+1,
"D20","D21","D28","D29","D81","E21","E31","E51","E61","E62","E73","E83","F01","F11","F12","G12","H41","E01","I21","I41","E91","E92","E23","E81","D22","D20")</f>
        <v/>
      </c>
      <c r="D121" s="54">
        <f>CHOOSE(MOD(ROW()-2,25)+1,
"BNF","BND","BNN","BNS","BIA",
"BUK","BIR","BBE","BNL","BNL",
"BFR","BIG","BSW","BIT","BIT",
"BES","BPT","BIE","BPL1","BCZ1",
"BAT","BAT","BUK","BIG","BND")</f>
        <v/>
      </c>
      <c r="E121" s="59">
        <f>"01"</f>
        <v/>
      </c>
      <c r="F121" s="54">
        <f>CHOOSE(MOD(ROW()-2,25)+1,
"D20","D21","D28","D29","D81",
"E21","E31","E51","E61","E62",
"E73","E83","F01","F11","F12",
"G12","H41","E01","E92","E92",
"E92","E92","E21","E83","D22")</f>
        <v/>
      </c>
      <c r="G121" s="48">
        <f t="array" ref="G121">INDEX('BIE Creation Sheet'!X:X,INT((ROW()-2)/25)+2)</f>
        <v/>
      </c>
      <c r="H121" s="64">
        <f t="array" ref="H121">INDEX('BIE Creation Sheet'!R:R,INT((ROW()-2)/25)+2)</f>
        <v/>
      </c>
      <c r="I121" s="54">
        <f>CHOOSE(MOD(ROW()-2,25)+1,
"FI","DK","SV","NO","DE",
"GB","IR","BE","NL","NL",
"FR","DE","CH","IT","IT",
"ES","PT","GB","PL","CZ",
"AT","AT","GB","DE","DK")</f>
        <v/>
      </c>
      <c r="J121" s="0">
        <f>0.01</f>
        <v/>
      </c>
    </row>
    <row r="122" ht="15.9" customHeight="1" s="1">
      <c r="A122" s="42" t="n"/>
      <c r="B122" s="68">
        <f t="array" ref="B122">INDEX('BIE Creation Sheet'!L:L,INT((ROW()-2)/25)+2)</f>
        <v/>
      </c>
      <c r="C122" s="53">
        <f>CHOOSE(MOD(ROW()-2,26)+1,
"D20","D21","D28","D29","D81","E21","E31","E51","E61","E62","E73","E83","F01","F11","F12","G12","H41","E01","I21","I41","E91","E92","E23","E81","D22","D20")</f>
        <v/>
      </c>
      <c r="D122" s="54">
        <f>CHOOSE(MOD(ROW()-2,25)+1,
"BNF","BND","BNN","BNS","BIA",
"BUK","BIR","BBE","BNL","BNL",
"BFR","BIG","BSW","BIT","BIT",
"BES","BPT","BIE","BPL1","BCZ1",
"BAT","BAT","BUK","BIG","BND")</f>
        <v/>
      </c>
      <c r="E122" s="59">
        <f>"01"</f>
        <v/>
      </c>
      <c r="F122" s="54">
        <f>CHOOSE(MOD(ROW()-2,25)+1,
"D20","D21","D28","D29","D81",
"E21","E31","E51","E61","E62",
"E73","E83","F01","F11","F12",
"G12","H41","E01","E92","E92",
"E92","E92","E21","E83","D22")</f>
        <v/>
      </c>
      <c r="G122" s="48">
        <f t="array" ref="G122">INDEX('BIE Creation Sheet'!X:X,INT((ROW()-2)/25)+2)</f>
        <v/>
      </c>
      <c r="H122" s="64">
        <f t="array" ref="H122">INDEX('BIE Creation Sheet'!R:R,INT((ROW()-2)/25)+2)</f>
        <v/>
      </c>
      <c r="I122" s="54">
        <f>CHOOSE(MOD(ROW()-2,25)+1,
"FI","DK","SV","NO","DE",
"GB","IR","BE","NL","NL",
"FR","DE","CH","IT","IT",
"ES","PT","GB","PL","CZ",
"AT","AT","GB","DE","DK")</f>
        <v/>
      </c>
      <c r="J122" s="0">
        <f>0.01</f>
        <v/>
      </c>
    </row>
    <row r="123" ht="15.9" customHeight="1" s="1">
      <c r="A123" s="42" t="n"/>
      <c r="B123" s="68">
        <f t="array" ref="B123">INDEX('BIE Creation Sheet'!L:L,INT((ROW()-2)/25)+2)</f>
        <v/>
      </c>
      <c r="C123" s="53">
        <f>CHOOSE(MOD(ROW()-2,26)+1,
"D20","D21","D28","D29","D81","E21","E31","E51","E61","E62","E73","E83","F01","F11","F12","G12","H41","E01","I21","I41","E91","E92","E23","E81","D22","D20")</f>
        <v/>
      </c>
      <c r="D123" s="54">
        <f>CHOOSE(MOD(ROW()-2,25)+1,
"BNF","BND","BNN","BNS","BIA",
"BUK","BIR","BBE","BNL","BNL",
"BFR","BIG","BSW","BIT","BIT",
"BES","BPT","BIE","BPL1","BCZ1",
"BAT","BAT","BUK","BIG","BND")</f>
        <v/>
      </c>
      <c r="E123" s="59">
        <f>"01"</f>
        <v/>
      </c>
      <c r="F123" s="54">
        <f>CHOOSE(MOD(ROW()-2,25)+1,
"D20","D21","D28","D29","D81",
"E21","E31","E51","E61","E62",
"E73","E83","F01","F11","F12",
"G12","H41","E01","E92","E92",
"E92","E92","E21","E83","D22")</f>
        <v/>
      </c>
      <c r="G123" s="48">
        <f t="array" ref="G123">INDEX('BIE Creation Sheet'!X:X,INT((ROW()-2)/25)+2)</f>
        <v/>
      </c>
      <c r="H123" s="64">
        <f t="array" ref="H123">INDEX('BIE Creation Sheet'!R:R,INT((ROW()-2)/25)+2)</f>
        <v/>
      </c>
      <c r="I123" s="54">
        <f>CHOOSE(MOD(ROW()-2,25)+1,
"FI","DK","SV","NO","DE",
"GB","IR","BE","NL","NL",
"FR","DE","CH","IT","IT",
"ES","PT","GB","PL","CZ",
"AT","AT","GB","DE","DK")</f>
        <v/>
      </c>
      <c r="J123" s="0">
        <f>0.01</f>
        <v/>
      </c>
    </row>
    <row r="124" ht="15.9" customHeight="1" s="1">
      <c r="A124" s="42" t="n"/>
      <c r="B124" s="68">
        <f t="array" ref="B124">INDEX('BIE Creation Sheet'!L:L,INT((ROW()-2)/25)+2)</f>
        <v/>
      </c>
      <c r="C124" s="53">
        <f>CHOOSE(MOD(ROW()-2,26)+1,
"D20","D21","D28","D29","D81","E21","E31","E51","E61","E62","E73","E83","F01","F11","F12","G12","H41","E01","I21","I41","E91","E92","E23","E81","D22","D20")</f>
        <v/>
      </c>
      <c r="D124" s="54">
        <f>CHOOSE(MOD(ROW()-2,25)+1,
"BNF","BND","BNN","BNS","BIA",
"BUK","BIR","BBE","BNL","BNL",
"BFR","BIG","BSW","BIT","BIT",
"BES","BPT","BIE","BPL1","BCZ1",
"BAT","BAT","BUK","BIG","BND")</f>
        <v/>
      </c>
      <c r="E124" s="59">
        <f>"01"</f>
        <v/>
      </c>
      <c r="F124" s="54">
        <f>CHOOSE(MOD(ROW()-2,25)+1,
"D20","D21","D28","D29","D81",
"E21","E31","E51","E61","E62",
"E73","E83","F01","F11","F12",
"G12","H41","E01","E92","E92",
"E92","E92","E21","E83","D22")</f>
        <v/>
      </c>
      <c r="G124" s="48">
        <f t="array" ref="G124">INDEX('BIE Creation Sheet'!X:X,INT((ROW()-2)/25)+2)</f>
        <v/>
      </c>
      <c r="H124" s="64">
        <f t="array" ref="H124">INDEX('BIE Creation Sheet'!R:R,INT((ROW()-2)/25)+2)</f>
        <v/>
      </c>
      <c r="I124" s="54">
        <f>CHOOSE(MOD(ROW()-2,25)+1,
"FI","DK","SV","NO","DE",
"GB","IR","BE","NL","NL",
"FR","DE","CH","IT","IT",
"ES","PT","GB","PL","CZ",
"AT","AT","GB","DE","DK")</f>
        <v/>
      </c>
      <c r="J124" s="0">
        <f>0.01</f>
        <v/>
      </c>
    </row>
    <row r="125" ht="15.9" customHeight="1" s="1">
      <c r="A125" s="42" t="n"/>
      <c r="B125" s="68">
        <f t="array" ref="B125">INDEX('BIE Creation Sheet'!L:L,INT((ROW()-2)/25)+2)</f>
        <v/>
      </c>
      <c r="C125" s="53">
        <f>CHOOSE(MOD(ROW()-2,26)+1,
"D20","D21","D28","D29","D81","E21","E31","E51","E61","E62","E73","E83","F01","F11","F12","G12","H41","E01","I21","I41","E91","E92","E23","E81","D22","D20")</f>
        <v/>
      </c>
      <c r="D125" s="54">
        <f>CHOOSE(MOD(ROW()-2,25)+1,
"BNF","BND","BNN","BNS","BIA",
"BUK","BIR","BBE","BNL","BNL",
"BFR","BIG","BSW","BIT","BIT",
"BES","BPT","BIE","BPL1","BCZ1",
"BAT","BAT","BUK","BIG","BND")</f>
        <v/>
      </c>
      <c r="E125" s="59">
        <f>"01"</f>
        <v/>
      </c>
      <c r="F125" s="54">
        <f>CHOOSE(MOD(ROW()-2,25)+1,
"D20","D21","D28","D29","D81",
"E21","E31","E51","E61","E62",
"E73","E83","F01","F11","F12",
"G12","H41","E01","E92","E92",
"E92","E92","E21","E83","D22")</f>
        <v/>
      </c>
      <c r="G125" s="48">
        <f t="array" ref="G125">INDEX('BIE Creation Sheet'!X:X,INT((ROW()-2)/25)+2)</f>
        <v/>
      </c>
      <c r="H125" s="64">
        <f t="array" ref="H125">INDEX('BIE Creation Sheet'!R:R,INT((ROW()-2)/25)+2)</f>
        <v/>
      </c>
      <c r="I125" s="54">
        <f>CHOOSE(MOD(ROW()-2,25)+1,
"FI","DK","SV","NO","DE",
"GB","IR","BE","NL","NL",
"FR","DE","CH","IT","IT",
"ES","PT","GB","PL","CZ",
"AT","AT","GB","DE","DK")</f>
        <v/>
      </c>
      <c r="J125" s="0">
        <f>0.01</f>
        <v/>
      </c>
    </row>
    <row r="126" ht="15.9" customHeight="1" s="1">
      <c r="A126" s="42" t="n"/>
      <c r="B126" s="68">
        <f t="array" ref="B126">INDEX('BIE Creation Sheet'!L:L,INT((ROW()-2)/25)+2)</f>
        <v/>
      </c>
      <c r="C126" s="53">
        <f>CHOOSE(MOD(ROW()-2,26)+1,
"D20","D21","D28","D29","D81","E21","E31","E51","E61","E62","E73","E83","F01","F11","F12","G12","H41","E01","I21","I41","E91","E92","E23","E81","D22","D20")</f>
        <v/>
      </c>
      <c r="D126" s="54">
        <f>CHOOSE(MOD(ROW()-2,25)+1,
"BNF","BND","BNN","BNS","BIA",
"BUK","BIR","BBE","BNL","BNL",
"BFR","BIG","BSW","BIT","BIT",
"BES","BPT","BIE","BPL1","BCZ1",
"BAT","BAT","BUK","BIG","BND")</f>
        <v/>
      </c>
      <c r="E126" s="59">
        <f>"01"</f>
        <v/>
      </c>
      <c r="F126" s="54">
        <f>CHOOSE(MOD(ROW()-2,25)+1,
"D20","D21","D28","D29","D81",
"E21","E31","E51","E61","E62",
"E73","E83","F01","F11","F12",
"G12","H41","E01","E92","E92",
"E92","E92","E21","E83","D22")</f>
        <v/>
      </c>
      <c r="G126" s="48">
        <f t="array" ref="G126">INDEX('BIE Creation Sheet'!X:X,INT((ROW()-2)/25)+2)</f>
        <v/>
      </c>
      <c r="H126" s="64">
        <f t="array" ref="H126">INDEX('BIE Creation Sheet'!R:R,INT((ROW()-2)/25)+2)</f>
        <v/>
      </c>
      <c r="I126" s="54">
        <f>CHOOSE(MOD(ROW()-2,25)+1,
"FI","DK","SV","NO","DE",
"GB","IR","BE","NL","NL",
"FR","DE","CH","IT","IT",
"ES","PT","GB","PL","CZ",
"AT","AT","GB","DE","DK")</f>
        <v/>
      </c>
      <c r="J126" s="0">
        <f>0.01</f>
        <v/>
      </c>
    </row>
    <row r="127" ht="15.9" customHeight="1" s="1">
      <c r="A127" s="42" t="n"/>
      <c r="B127" s="68">
        <f t="array" ref="B127">INDEX('BIE Creation Sheet'!L:L,INT((ROW()-2)/25)+2)</f>
        <v/>
      </c>
      <c r="C127" s="53">
        <f>CHOOSE(MOD(ROW()-2,26)+1,
"D20","D21","D28","D29","D81","E21","E31","E51","E61","E62","E73","E83","F01","F11","F12","G12","H41","E01","I21","I41","E91","E92","E23","E81","D22","D20")</f>
        <v/>
      </c>
      <c r="D127" s="54">
        <f>CHOOSE(MOD(ROW()-2,25)+1,
"BNF","BND","BNN","BNS","BIA",
"BUK","BIR","BBE","BNL","BNL",
"BFR","BIG","BSW","BIT","BIT",
"BES","BPT","BIE","BPL1","BCZ1",
"BAT","BAT","BUK","BIG","BND")</f>
        <v/>
      </c>
      <c r="E127" s="59">
        <f>"01"</f>
        <v/>
      </c>
      <c r="F127" s="54">
        <f>CHOOSE(MOD(ROW()-2,25)+1,
"D20","D21","D28","D29","D81",
"E21","E31","E51","E61","E62",
"E73","E83","F01","F11","F12",
"G12","H41","E01","E92","E92",
"E92","E92","E21","E83","D22")</f>
        <v/>
      </c>
      <c r="G127" s="48">
        <f t="array" ref="G127">INDEX('BIE Creation Sheet'!X:X,INT((ROW()-2)/25)+2)</f>
        <v/>
      </c>
      <c r="H127" s="64">
        <f t="array" ref="H127">INDEX('BIE Creation Sheet'!R:R,INT((ROW()-2)/25)+2)</f>
        <v/>
      </c>
      <c r="I127" s="54">
        <f>CHOOSE(MOD(ROW()-2,25)+1,
"FI","DK","SV","NO","DE",
"GB","IR","BE","NL","NL",
"FR","DE","CH","IT","IT",
"ES","PT","GB","PL","CZ",
"AT","AT","GB","DE","DK")</f>
        <v/>
      </c>
      <c r="J127" s="0">
        <f>0.01</f>
        <v/>
      </c>
    </row>
    <row r="128" ht="15.9" customHeight="1" s="1">
      <c r="A128" s="42" t="n"/>
      <c r="B128" s="68">
        <f t="array" ref="B128">INDEX('BIE Creation Sheet'!L:L,INT((ROW()-2)/25)+2)</f>
        <v/>
      </c>
      <c r="C128" s="53">
        <f>CHOOSE(MOD(ROW()-2,26)+1,
"D20","D21","D28","D29","D81","E21","E31","E51","E61","E62","E73","E83","F01","F11","F12","G12","H41","E01","I21","I41","E91","E92","E23","E81","D22","D20")</f>
        <v/>
      </c>
      <c r="D128" s="54">
        <f>CHOOSE(MOD(ROW()-2,25)+1,
"BNF","BND","BNN","BNS","BIA",
"BUK","BIR","BBE","BNL","BNL",
"BFR","BIG","BSW","BIT","BIT",
"BES","BPT","BIE","BPL1","BCZ1",
"BAT","BAT","BUK","BIG","BND")</f>
        <v/>
      </c>
      <c r="E128" s="59">
        <f>"01"</f>
        <v/>
      </c>
      <c r="F128" s="54">
        <f>CHOOSE(MOD(ROW()-2,25)+1,
"D20","D21","D28","D29","D81",
"E21","E31","E51","E61","E62",
"E73","E83","F01","F11","F12",
"G12","H41","E01","E92","E92",
"E92","E92","E21","E83","D22")</f>
        <v/>
      </c>
      <c r="G128" s="48">
        <f t="array" ref="G128">INDEX('BIE Creation Sheet'!X:X,INT((ROW()-2)/25)+2)</f>
        <v/>
      </c>
      <c r="H128" s="64">
        <f t="array" ref="H128">INDEX('BIE Creation Sheet'!R:R,INT((ROW()-2)/25)+2)</f>
        <v/>
      </c>
      <c r="I128" s="54">
        <f>CHOOSE(MOD(ROW()-2,25)+1,
"FI","DK","SV","NO","DE",
"GB","IR","BE","NL","NL",
"FR","DE","CH","IT","IT",
"ES","PT","GB","PL","CZ",
"AT","AT","GB","DE","DK")</f>
        <v/>
      </c>
      <c r="J128" s="0">
        <f>0.01</f>
        <v/>
      </c>
    </row>
    <row r="129" ht="15.9" customHeight="1" s="1">
      <c r="A129" s="42" t="n"/>
      <c r="B129" s="68">
        <f t="array" ref="B129">INDEX('BIE Creation Sheet'!L:L,INT((ROW()-2)/25)+2)</f>
        <v/>
      </c>
      <c r="C129" s="53">
        <f>CHOOSE(MOD(ROW()-2,26)+1,
"D20","D21","D28","D29","D81","E21","E31","E51","E61","E62","E73","E83","F01","F11","F12","G12","H41","E01","I21","I41","E91","E92","E23","E81","D22","D20")</f>
        <v/>
      </c>
      <c r="D129" s="54">
        <f>CHOOSE(MOD(ROW()-2,25)+1,
"BNF","BND","BNN","BNS","BIA",
"BUK","BIR","BBE","BNL","BNL",
"BFR","BIG","BSW","BIT","BIT",
"BES","BPT","BIE","BPL1","BCZ1",
"BAT","BAT","BUK","BIG","BND")</f>
        <v/>
      </c>
      <c r="E129" s="59">
        <f>"01"</f>
        <v/>
      </c>
      <c r="F129" s="54">
        <f>CHOOSE(MOD(ROW()-2,25)+1,
"D20","D21","D28","D29","D81",
"E21","E31","E51","E61","E62",
"E73","E83","F01","F11","F12",
"G12","H41","E01","E92","E92",
"E92","E92","E21","E83","D22")</f>
        <v/>
      </c>
      <c r="G129" s="48">
        <f t="array" ref="G129">INDEX('BIE Creation Sheet'!X:X,INT((ROW()-2)/25)+2)</f>
        <v/>
      </c>
      <c r="H129" s="64">
        <f t="array" ref="H129">INDEX('BIE Creation Sheet'!R:R,INT((ROW()-2)/25)+2)</f>
        <v/>
      </c>
      <c r="I129" s="54">
        <f>CHOOSE(MOD(ROW()-2,25)+1,
"FI","DK","SV","NO","DE",
"GB","IR","BE","NL","NL",
"FR","DE","CH","IT","IT",
"ES","PT","GB","PL","CZ",
"AT","AT","GB","DE","DK")</f>
        <v/>
      </c>
      <c r="J129" s="0">
        <f>0.01</f>
        <v/>
      </c>
    </row>
    <row r="130" ht="15.9" customHeight="1" s="1">
      <c r="A130" s="42" t="n"/>
      <c r="B130" s="68">
        <f t="array" ref="B130">INDEX('BIE Creation Sheet'!L:L,INT((ROW()-2)/25)+2)</f>
        <v/>
      </c>
      <c r="C130" s="53">
        <f>CHOOSE(MOD(ROW()-2,26)+1,
"D20","D21","D28","D29","D81","E21","E31","E51","E61","E62","E73","E83","F01","F11","F12","G12","H41","E01","I21","I41","E91","E92","E23","E81","D22","D20")</f>
        <v/>
      </c>
      <c r="D130" s="54">
        <f>CHOOSE(MOD(ROW()-2,25)+1,
"BNF","BND","BNN","BNS","BIA",
"BUK","BIR","BBE","BNL","BNL",
"BFR","BIG","BSW","BIT","BIT",
"BES","BPT","BIE","BPL1","BCZ1",
"BAT","BAT","BUK","BIG","BND")</f>
        <v/>
      </c>
      <c r="E130" s="59">
        <f>"01"</f>
        <v/>
      </c>
      <c r="F130" s="54">
        <f>CHOOSE(MOD(ROW()-2,25)+1,
"D20","D21","D28","D29","D81",
"E21","E31","E51","E61","E62",
"E73","E83","F01","F11","F12",
"G12","H41","E01","E92","E92",
"E92","E92","E21","E83","D22")</f>
        <v/>
      </c>
      <c r="G130" s="48">
        <f t="array" ref="G130">INDEX('BIE Creation Sheet'!X:X,INT((ROW()-2)/25)+2)</f>
        <v/>
      </c>
      <c r="H130" s="64">
        <f t="array" ref="H130">INDEX('BIE Creation Sheet'!R:R,INT((ROW()-2)/25)+2)</f>
        <v/>
      </c>
      <c r="I130" s="54">
        <f>CHOOSE(MOD(ROW()-2,25)+1,
"FI","DK","SV","NO","DE",
"GB","IR","BE","NL","NL",
"FR","DE","CH","IT","IT",
"ES","PT","GB","PL","CZ",
"AT","AT","GB","DE","DK")</f>
        <v/>
      </c>
      <c r="J130" s="0">
        <f>0.01</f>
        <v/>
      </c>
    </row>
    <row r="131" ht="15.9" customHeight="1" s="1">
      <c r="A131" s="42" t="n"/>
      <c r="B131" s="68">
        <f t="array" ref="B131">INDEX('BIE Creation Sheet'!L:L,INT((ROW()-2)/25)+2)</f>
        <v/>
      </c>
      <c r="C131" s="53">
        <f>CHOOSE(MOD(ROW()-2,26)+1,
"D20","D21","D28","D29","D81","E21","E31","E51","E61","E62","E73","E83","F01","F11","F12","G12","H41","E01","I21","I41","E91","E92","E23","E81","D22","D20")</f>
        <v/>
      </c>
      <c r="D131" s="54">
        <f>CHOOSE(MOD(ROW()-2,25)+1,
"BNF","BND","BNN","BNS","BIA",
"BUK","BIR","BBE","BNL","BNL",
"BFR","BIG","BSW","BIT","BIT",
"BES","BPT","BIE","BPL1","BCZ1",
"BAT","BAT","BUK","BIG","BND")</f>
        <v/>
      </c>
      <c r="E131" s="59">
        <f>"01"</f>
        <v/>
      </c>
      <c r="F131" s="54">
        <f>CHOOSE(MOD(ROW()-2,25)+1,
"D20","D21","D28","D29","D81",
"E21","E31","E51","E61","E62",
"E73","E83","F01","F11","F12",
"G12","H41","E01","E92","E92",
"E92","E92","E21","E83","D22")</f>
        <v/>
      </c>
      <c r="G131" s="48">
        <f t="array" ref="G131">INDEX('BIE Creation Sheet'!X:X,INT((ROW()-2)/25)+2)</f>
        <v/>
      </c>
      <c r="H131" s="64">
        <f t="array" ref="H131">INDEX('BIE Creation Sheet'!R:R,INT((ROW()-2)/25)+2)</f>
        <v/>
      </c>
      <c r="I131" s="54">
        <f>CHOOSE(MOD(ROW()-2,25)+1,
"FI","DK","SV","NO","DE",
"GB","IR","BE","NL","NL",
"FR","DE","CH","IT","IT",
"ES","PT","GB","PL","CZ",
"AT","AT","GB","DE","DK")</f>
        <v/>
      </c>
      <c r="J131" s="0">
        <f>0.01</f>
        <v/>
      </c>
    </row>
    <row r="132" ht="15.9" customHeight="1" s="1">
      <c r="A132" s="42" t="n"/>
      <c r="B132" s="68">
        <f t="array" ref="B132">INDEX('BIE Creation Sheet'!L:L,INT((ROW()-2)/25)+2)</f>
        <v/>
      </c>
      <c r="C132" s="53">
        <f>CHOOSE(MOD(ROW()-2,26)+1,
"D20","D21","D28","D29","D81","E21","E31","E51","E61","E62","E73","E83","F01","F11","F12","G12","H41","E01","I21","I41","E91","E92","E23","E81","D22","D20")</f>
        <v/>
      </c>
      <c r="D132" s="54">
        <f>CHOOSE(MOD(ROW()-2,25)+1,
"BNF","BND","BNN","BNS","BIA",
"BUK","BIR","BBE","BNL","BNL",
"BFR","BIG","BSW","BIT","BIT",
"BES","BPT","BIE","BPL1","BCZ1",
"BAT","BAT","BUK","BIG","BND")</f>
        <v/>
      </c>
      <c r="E132" s="59">
        <f>"01"</f>
        <v/>
      </c>
      <c r="F132" s="54">
        <f>CHOOSE(MOD(ROW()-2,25)+1,
"D20","D21","D28","D29","D81",
"E21","E31","E51","E61","E62",
"E73","E83","F01","F11","F12",
"G12","H41","E01","E92","E92",
"E92","E92","E21","E83","D22")</f>
        <v/>
      </c>
      <c r="G132" s="48">
        <f t="array" ref="G132">INDEX('BIE Creation Sheet'!X:X,INT((ROW()-2)/25)+2)</f>
        <v/>
      </c>
      <c r="H132" s="64">
        <f t="array" ref="H132">INDEX('BIE Creation Sheet'!R:R,INT((ROW()-2)/25)+2)</f>
        <v/>
      </c>
      <c r="I132" s="54">
        <f>CHOOSE(MOD(ROW()-2,25)+1,
"FI","DK","SV","NO","DE",
"GB","IR","BE","NL","NL",
"FR","DE","CH","IT","IT",
"ES","PT","GB","PL","CZ",
"AT","AT","GB","DE","DK")</f>
        <v/>
      </c>
      <c r="J132" s="0">
        <f>0.01</f>
        <v/>
      </c>
    </row>
    <row r="133" ht="15.9" customHeight="1" s="1">
      <c r="A133" s="42" t="n"/>
      <c r="B133" s="68">
        <f t="array" ref="B133">INDEX('BIE Creation Sheet'!L:L,INT((ROW()-2)/25)+2)</f>
        <v/>
      </c>
      <c r="C133" s="53">
        <f>CHOOSE(MOD(ROW()-2,26)+1,
"D20","D21","D28","D29","D81","E21","E31","E51","E61","E62","E73","E83","F01","F11","F12","G12","H41","E01","I21","I41","E91","E92","E23","E81","D22","D20")</f>
        <v/>
      </c>
      <c r="D133" s="54">
        <f>CHOOSE(MOD(ROW()-2,25)+1,
"BNF","BND","BNN","BNS","BIA",
"BUK","BIR","BBE","BNL","BNL",
"BFR","BIG","BSW","BIT","BIT",
"BES","BPT","BIE","BPL1","BCZ1",
"BAT","BAT","BUK","BIG","BND")</f>
        <v/>
      </c>
      <c r="E133" s="59">
        <f>"01"</f>
        <v/>
      </c>
      <c r="F133" s="54">
        <f>CHOOSE(MOD(ROW()-2,25)+1,
"D20","D21","D28","D29","D81",
"E21","E31","E51","E61","E62",
"E73","E83","F01","F11","F12",
"G12","H41","E01","E92","E92",
"E92","E92","E21","E83","D22")</f>
        <v/>
      </c>
      <c r="G133" s="48">
        <f t="array" ref="G133">INDEX('BIE Creation Sheet'!X:X,INT((ROW()-2)/25)+2)</f>
        <v/>
      </c>
      <c r="H133" s="64">
        <f t="array" ref="H133">INDEX('BIE Creation Sheet'!R:R,INT((ROW()-2)/25)+2)</f>
        <v/>
      </c>
      <c r="I133" s="54">
        <f>CHOOSE(MOD(ROW()-2,25)+1,
"FI","DK","SV","NO","DE",
"GB","IR","BE","NL","NL",
"FR","DE","CH","IT","IT",
"ES","PT","GB","PL","CZ",
"AT","AT","GB","DE","DK")</f>
        <v/>
      </c>
      <c r="J133" s="0">
        <f>0.01</f>
        <v/>
      </c>
    </row>
    <row r="134" ht="15.9" customHeight="1" s="1">
      <c r="A134" s="42" t="n"/>
      <c r="B134" s="68">
        <f t="array" ref="B134">INDEX('BIE Creation Sheet'!L:L,INT((ROW()-2)/25)+2)</f>
        <v/>
      </c>
      <c r="C134" s="53">
        <f>CHOOSE(MOD(ROW()-2,26)+1,
"D20","D21","D28","D29","D81","E21","E31","E51","E61","E62","E73","E83","F01","F11","F12","G12","H41","E01","I21","I41","E91","E92","E23","E81","D22","D20")</f>
        <v/>
      </c>
      <c r="D134" s="54">
        <f>CHOOSE(MOD(ROW()-2,25)+1,
"BNF","BND","BNN","BNS","BIA",
"BUK","BIR","BBE","BNL","BNL",
"BFR","BIG","BSW","BIT","BIT",
"BES","BPT","BIE","BPL1","BCZ1",
"BAT","BAT","BUK","BIG","BND")</f>
        <v/>
      </c>
      <c r="E134" s="59">
        <f>"01"</f>
        <v/>
      </c>
      <c r="F134" s="54">
        <f>CHOOSE(MOD(ROW()-2,25)+1,
"D20","D21","D28","D29","D81",
"E21","E31","E51","E61","E62",
"E73","E83","F01","F11","F12",
"G12","H41","E01","E92","E92",
"E92","E92","E21","E83","D22")</f>
        <v/>
      </c>
      <c r="G134" s="48">
        <f t="array" ref="G134">INDEX('BIE Creation Sheet'!X:X,INT((ROW()-2)/25)+2)</f>
        <v/>
      </c>
      <c r="H134" s="64">
        <f t="array" ref="H134">INDEX('BIE Creation Sheet'!R:R,INT((ROW()-2)/25)+2)</f>
        <v/>
      </c>
      <c r="I134" s="54">
        <f>CHOOSE(MOD(ROW()-2,25)+1,
"FI","DK","SV","NO","DE",
"GB","IR","BE","NL","NL",
"FR","DE","CH","IT","IT",
"ES","PT","GB","PL","CZ",
"AT","AT","GB","DE","DK")</f>
        <v/>
      </c>
      <c r="J134" s="0">
        <f>0.01</f>
        <v/>
      </c>
    </row>
    <row r="135" ht="15.9" customHeight="1" s="1">
      <c r="A135" s="42" t="n"/>
      <c r="B135" s="68">
        <f t="array" ref="B135">INDEX('BIE Creation Sheet'!L:L,INT((ROW()-2)/25)+2)</f>
        <v/>
      </c>
      <c r="C135" s="53">
        <f>CHOOSE(MOD(ROW()-2,26)+1,
"D20","D21","D28","D29","D81","E21","E31","E51","E61","E62","E73","E83","F01","F11","F12","G12","H41","E01","I21","I41","E91","E92","E23","E81","D22","D20")</f>
        <v/>
      </c>
      <c r="D135" s="54">
        <f>CHOOSE(MOD(ROW()-2,25)+1,
"BNF","BND","BNN","BNS","BIA",
"BUK","BIR","BBE","BNL","BNL",
"BFR","BIG","BSW","BIT","BIT",
"BES","BPT","BIE","BPL1","BCZ1",
"BAT","BAT","BUK","BIG","BND")</f>
        <v/>
      </c>
      <c r="E135" s="59">
        <f>"01"</f>
        <v/>
      </c>
      <c r="F135" s="54">
        <f>CHOOSE(MOD(ROW()-2,25)+1,
"D20","D21","D28","D29","D81",
"E21","E31","E51","E61","E62",
"E73","E83","F01","F11","F12",
"G12","H41","E01","E92","E92",
"E92","E92","E21","E83","D22")</f>
        <v/>
      </c>
      <c r="G135" s="48">
        <f t="array" ref="G135">INDEX('BIE Creation Sheet'!X:X,INT((ROW()-2)/25)+2)</f>
        <v/>
      </c>
      <c r="H135" s="64">
        <f t="array" ref="H135">INDEX('BIE Creation Sheet'!R:R,INT((ROW()-2)/25)+2)</f>
        <v/>
      </c>
      <c r="I135" s="54">
        <f>CHOOSE(MOD(ROW()-2,25)+1,
"FI","DK","SV","NO","DE",
"GB","IR","BE","NL","NL",
"FR","DE","CH","IT","IT",
"ES","PT","GB","PL","CZ",
"AT","AT","GB","DE","DK")</f>
        <v/>
      </c>
      <c r="J135" s="0">
        <f>0.01</f>
        <v/>
      </c>
    </row>
    <row r="136" ht="15.9" customHeight="1" s="1">
      <c r="A136" s="42" t="n"/>
      <c r="B136" s="68">
        <f t="array" ref="B136">INDEX('BIE Creation Sheet'!L:L,INT((ROW()-2)/25)+2)</f>
        <v/>
      </c>
      <c r="C136" s="53">
        <f>CHOOSE(MOD(ROW()-2,26)+1,
"D20","D21","D28","D29","D81","E21","E31","E51","E61","E62","E73","E83","F01","F11","F12","G12","H41","E01","I21","I41","E91","E92","E23","E81","D22","D20")</f>
        <v/>
      </c>
      <c r="D136" s="54">
        <f>CHOOSE(MOD(ROW()-2,25)+1,
"BNF","BND","BNN","BNS","BIA",
"BUK","BIR","BBE","BNL","BNL",
"BFR","BIG","BSW","BIT","BIT",
"BES","BPT","BIE","BPL1","BCZ1",
"BAT","BAT","BUK","BIG","BND")</f>
        <v/>
      </c>
      <c r="E136" s="59">
        <f>"01"</f>
        <v/>
      </c>
      <c r="F136" s="54">
        <f>CHOOSE(MOD(ROW()-2,25)+1,
"D20","D21","D28","D29","D81",
"E21","E31","E51","E61","E62",
"E73","E83","F01","F11","F12",
"G12","H41","E01","E92","E92",
"E92","E92","E21","E83","D22")</f>
        <v/>
      </c>
      <c r="G136" s="48">
        <f t="array" ref="G136">INDEX('BIE Creation Sheet'!X:X,INT((ROW()-2)/25)+2)</f>
        <v/>
      </c>
      <c r="H136" s="64">
        <f t="array" ref="H136">INDEX('BIE Creation Sheet'!R:R,INT((ROW()-2)/25)+2)</f>
        <v/>
      </c>
      <c r="I136" s="54">
        <f>CHOOSE(MOD(ROW()-2,25)+1,
"FI","DK","SV","NO","DE",
"GB","IR","BE","NL","NL",
"FR","DE","CH","IT","IT",
"ES","PT","GB","PL","CZ",
"AT","AT","GB","DE","DK")</f>
        <v/>
      </c>
      <c r="J136" s="0">
        <f>0.01</f>
        <v/>
      </c>
    </row>
    <row r="137" ht="15.9" customHeight="1" s="1">
      <c r="A137" s="42" t="n"/>
      <c r="B137" s="68">
        <f t="array" ref="B137">INDEX('BIE Creation Sheet'!L:L,INT((ROW()-2)/25)+2)</f>
        <v/>
      </c>
      <c r="C137" s="53">
        <f>CHOOSE(MOD(ROW()-2,26)+1,
"D20","D21","D28","D29","D81","E21","E31","E51","E61","E62","E73","E83","F01","F11","F12","G12","H41","E01","I21","I41","E91","E92","E23","E81","D22","D20")</f>
        <v/>
      </c>
      <c r="D137" s="54">
        <f>CHOOSE(MOD(ROW()-2,25)+1,
"BNF","BND","BNN","BNS","BIA",
"BUK","BIR","BBE","BNL","BNL",
"BFR","BIG","BSW","BIT","BIT",
"BES","BPT","BIE","BPL1","BCZ1",
"BAT","BAT","BUK","BIG","BND")</f>
        <v/>
      </c>
      <c r="E137" s="59">
        <f>"01"</f>
        <v/>
      </c>
      <c r="F137" s="54">
        <f>CHOOSE(MOD(ROW()-2,25)+1,
"D20","D21","D28","D29","D81",
"E21","E31","E51","E61","E62",
"E73","E83","F01","F11","F12",
"G12","H41","E01","E92","E92",
"E92","E92","E21","E83","D22")</f>
        <v/>
      </c>
      <c r="G137" s="48">
        <f t="array" ref="G137">INDEX('BIE Creation Sheet'!X:X,INT((ROW()-2)/25)+2)</f>
        <v/>
      </c>
      <c r="H137" s="64">
        <f t="array" ref="H137">INDEX('BIE Creation Sheet'!R:R,INT((ROW()-2)/25)+2)</f>
        <v/>
      </c>
      <c r="I137" s="54">
        <f>CHOOSE(MOD(ROW()-2,25)+1,
"FI","DK","SV","NO","DE",
"GB","IR","BE","NL","NL",
"FR","DE","CH","IT","IT",
"ES","PT","GB","PL","CZ",
"AT","AT","GB","DE","DK")</f>
        <v/>
      </c>
      <c r="J137" s="0">
        <f>0.01</f>
        <v/>
      </c>
    </row>
    <row r="138" ht="15.9" customHeight="1" s="1">
      <c r="A138" s="42" t="n"/>
      <c r="B138" s="68">
        <f t="array" ref="B138">INDEX('BIE Creation Sheet'!L:L,INT((ROW()-2)/25)+2)</f>
        <v/>
      </c>
      <c r="C138" s="53">
        <f>CHOOSE(MOD(ROW()-2,26)+1,
"D20","D21","D28","D29","D81","E21","E31","E51","E61","E62","E73","E83","F01","F11","F12","G12","H41","E01","I21","I41","E91","E92","E23","E81","D22","D20")</f>
        <v/>
      </c>
      <c r="D138" s="54">
        <f>CHOOSE(MOD(ROW()-2,25)+1,
"BNF","BND","BNN","BNS","BIA",
"BUK","BIR","BBE","BNL","BNL",
"BFR","BIG","BSW","BIT","BIT",
"BES","BPT","BIE","BPL1","BCZ1",
"BAT","BAT","BUK","BIG","BND")</f>
        <v/>
      </c>
      <c r="E138" s="59">
        <f>"01"</f>
        <v/>
      </c>
      <c r="F138" s="54">
        <f>CHOOSE(MOD(ROW()-2,25)+1,
"D20","D21","D28","D29","D81",
"E21","E31","E51","E61","E62",
"E73","E83","F01","F11","F12",
"G12","H41","E01","E92","E92",
"E92","E92","E21","E83","D22")</f>
        <v/>
      </c>
      <c r="G138" s="48">
        <f t="array" ref="G138">INDEX('BIE Creation Sheet'!X:X,INT((ROW()-2)/25)+2)</f>
        <v/>
      </c>
      <c r="H138" s="64">
        <f t="array" ref="H138">INDEX('BIE Creation Sheet'!R:R,INT((ROW()-2)/25)+2)</f>
        <v/>
      </c>
      <c r="I138" s="54">
        <f>CHOOSE(MOD(ROW()-2,25)+1,
"FI","DK","SV","NO","DE",
"GB","IR","BE","NL","NL",
"FR","DE","CH","IT","IT",
"ES","PT","GB","PL","CZ",
"AT","AT","GB","DE","DK")</f>
        <v/>
      </c>
      <c r="J138" s="0">
        <f>0.01</f>
        <v/>
      </c>
    </row>
    <row r="139" ht="15.9" customHeight="1" s="1">
      <c r="A139" s="42" t="n"/>
      <c r="B139" s="68">
        <f t="array" ref="B139">INDEX('BIE Creation Sheet'!L:L,INT((ROW()-2)/25)+2)</f>
        <v/>
      </c>
      <c r="C139" s="53">
        <f>CHOOSE(MOD(ROW()-2,26)+1,
"D20","D21","D28","D29","D81","E21","E31","E51","E61","E62","E73","E83","F01","F11","F12","G12","H41","E01","I21","I41","E91","E92","E23","E81","D22","D20")</f>
        <v/>
      </c>
      <c r="D139" s="54">
        <f>CHOOSE(MOD(ROW()-2,25)+1,
"BNF","BND","BNN","BNS","BIA",
"BUK","BIR","BBE","BNL","BNL",
"BFR","BIG","BSW","BIT","BIT",
"BES","BPT","BIE","BPL1","BCZ1",
"BAT","BAT","BUK","BIG","BND")</f>
        <v/>
      </c>
      <c r="E139" s="59">
        <f>"01"</f>
        <v/>
      </c>
      <c r="F139" s="54">
        <f>CHOOSE(MOD(ROW()-2,25)+1,
"D20","D21","D28","D29","D81",
"E21","E31","E51","E61","E62",
"E73","E83","F01","F11","F12",
"G12","H41","E01","E92","E92",
"E92","E92","E21","E83","D22")</f>
        <v/>
      </c>
      <c r="G139" s="48">
        <f t="array" ref="G139">INDEX('BIE Creation Sheet'!X:X,INT((ROW()-2)/25)+2)</f>
        <v/>
      </c>
      <c r="H139" s="64">
        <f t="array" ref="H139">INDEX('BIE Creation Sheet'!R:R,INT((ROW()-2)/25)+2)</f>
        <v/>
      </c>
      <c r="I139" s="54">
        <f>CHOOSE(MOD(ROW()-2,25)+1,
"FI","DK","SV","NO","DE",
"GB","IR","BE","NL","NL",
"FR","DE","CH","IT","IT",
"ES","PT","GB","PL","CZ",
"AT","AT","GB","DE","DK")</f>
        <v/>
      </c>
      <c r="J139" s="0">
        <f>0.01</f>
        <v/>
      </c>
    </row>
    <row r="140" ht="15.9" customHeight="1" s="1">
      <c r="A140" s="42" t="n"/>
      <c r="B140" s="68">
        <f t="array" ref="B140">INDEX('BIE Creation Sheet'!L:L,INT((ROW()-2)/25)+2)</f>
        <v/>
      </c>
      <c r="C140" s="53">
        <f>CHOOSE(MOD(ROW()-2,26)+1,
"D20","D21","D28","D29","D81","E21","E31","E51","E61","E62","E73","E83","F01","F11","F12","G12","H41","E01","I21","I41","E91","E92","E23","E81","D22","D20")</f>
        <v/>
      </c>
      <c r="D140" s="54">
        <f>CHOOSE(MOD(ROW()-2,25)+1,
"BNF","BND","BNN","BNS","BIA",
"BUK","BIR","BBE","BNL","BNL",
"BFR","BIG","BSW","BIT","BIT",
"BES","BPT","BIE","BPL1","BCZ1",
"BAT","BAT","BUK","BIG","BND")</f>
        <v/>
      </c>
      <c r="E140" s="59">
        <f>"01"</f>
        <v/>
      </c>
      <c r="F140" s="54">
        <f>CHOOSE(MOD(ROW()-2,25)+1,
"D20","D21","D28","D29","D81",
"E21","E31","E51","E61","E62",
"E73","E83","F01","F11","F12",
"G12","H41","E01","E92","E92",
"E92","E92","E21","E83","D22")</f>
        <v/>
      </c>
      <c r="G140" s="48">
        <f t="array" ref="G140">INDEX('BIE Creation Sheet'!X:X,INT((ROW()-2)/25)+2)</f>
        <v/>
      </c>
      <c r="H140" s="64">
        <f t="array" ref="H140">INDEX('BIE Creation Sheet'!R:R,INT((ROW()-2)/25)+2)</f>
        <v/>
      </c>
      <c r="I140" s="54">
        <f>CHOOSE(MOD(ROW()-2,25)+1,
"FI","DK","SV","NO","DE",
"GB","IR","BE","NL","NL",
"FR","DE","CH","IT","IT",
"ES","PT","GB","PL","CZ",
"AT","AT","GB","DE","DK")</f>
        <v/>
      </c>
      <c r="J140" s="0">
        <f>0.01</f>
        <v/>
      </c>
    </row>
    <row r="141" ht="15.9" customHeight="1" s="1">
      <c r="A141" s="42" t="n"/>
      <c r="B141" s="68">
        <f t="array" ref="B141">INDEX('BIE Creation Sheet'!L:L,INT((ROW()-2)/25)+2)</f>
        <v/>
      </c>
      <c r="C141" s="53">
        <f>CHOOSE(MOD(ROW()-2,26)+1,
"D20","D21","D28","D29","D81","E21","E31","E51","E61","E62","E73","E83","F01","F11","F12","G12","H41","E01","I21","I41","E91","E92","E23","E81","D22","D20")</f>
        <v/>
      </c>
      <c r="D141" s="54">
        <f>CHOOSE(MOD(ROW()-2,25)+1,
"BNF","BND","BNN","BNS","BIA",
"BUK","BIR","BBE","BNL","BNL",
"BFR","BIG","BSW","BIT","BIT",
"BES","BPT","BIE","BPL1","BCZ1",
"BAT","BAT","BUK","BIG","BND")</f>
        <v/>
      </c>
      <c r="E141" s="59">
        <f>"01"</f>
        <v/>
      </c>
      <c r="F141" s="54">
        <f>CHOOSE(MOD(ROW()-2,25)+1,
"D20","D21","D28","D29","D81",
"E21","E31","E51","E61","E62",
"E73","E83","F01","F11","F12",
"G12","H41","E01","E92","E92",
"E92","E92","E21","E83","D22")</f>
        <v/>
      </c>
      <c r="G141" s="48">
        <f t="array" ref="G141">INDEX('BIE Creation Sheet'!X:X,INT((ROW()-2)/25)+2)</f>
        <v/>
      </c>
      <c r="H141" s="64">
        <f t="array" ref="H141">INDEX('BIE Creation Sheet'!R:R,INT((ROW()-2)/25)+2)</f>
        <v/>
      </c>
      <c r="I141" s="54">
        <f>CHOOSE(MOD(ROW()-2,25)+1,
"FI","DK","SV","NO","DE",
"GB","IR","BE","NL","NL",
"FR","DE","CH","IT","IT",
"ES","PT","GB","PL","CZ",
"AT","AT","GB","DE","DK")</f>
        <v/>
      </c>
      <c r="J141" s="0">
        <f>0.01</f>
        <v/>
      </c>
    </row>
    <row r="142" ht="15.9" customHeight="1" s="1">
      <c r="A142" s="42" t="n"/>
      <c r="B142" s="68">
        <f t="array" ref="B142">INDEX('BIE Creation Sheet'!L:L,INT((ROW()-2)/25)+2)</f>
        <v/>
      </c>
      <c r="C142" s="53">
        <f>CHOOSE(MOD(ROW()-2,26)+1,
"D20","D21","D28","D29","D81","E21","E31","E51","E61","E62","E73","E83","F01","F11","F12","G12","H41","E01","I21","I41","E91","E92","E23","E81","D22","D20")</f>
        <v/>
      </c>
      <c r="D142" s="54">
        <f>CHOOSE(MOD(ROW()-2,25)+1,
"BNF","BND","BNN","BNS","BIA",
"BUK","BIR","BBE","BNL","BNL",
"BFR","BIG","BSW","BIT","BIT",
"BES","BPT","BIE","BPL1","BCZ1",
"BAT","BAT","BUK","BIG","BND")</f>
        <v/>
      </c>
      <c r="E142" s="59">
        <f>"01"</f>
        <v/>
      </c>
      <c r="F142" s="54">
        <f>CHOOSE(MOD(ROW()-2,25)+1,
"D20","D21","D28","D29","D81",
"E21","E31","E51","E61","E62",
"E73","E83","F01","F11","F12",
"G12","H41","E01","E92","E92",
"E92","E92","E21","E83","D22")</f>
        <v/>
      </c>
      <c r="G142" s="48">
        <f t="array" ref="G142">INDEX('BIE Creation Sheet'!X:X,INT((ROW()-2)/25)+2)</f>
        <v/>
      </c>
      <c r="H142" s="64">
        <f t="array" ref="H142">INDEX('BIE Creation Sheet'!R:R,INT((ROW()-2)/25)+2)</f>
        <v/>
      </c>
      <c r="I142" s="54">
        <f>CHOOSE(MOD(ROW()-2,25)+1,
"FI","DK","SV","NO","DE",
"GB","IR","BE","NL","NL",
"FR","DE","CH","IT","IT",
"ES","PT","GB","PL","CZ",
"AT","AT","GB","DE","DK")</f>
        <v/>
      </c>
      <c r="J142" s="0">
        <f>0.01</f>
        <v/>
      </c>
    </row>
    <row r="143" ht="15.9" customHeight="1" s="1">
      <c r="A143" s="42" t="n"/>
      <c r="B143" s="68">
        <f t="array" ref="B143">INDEX('BIE Creation Sheet'!L:L,INT((ROW()-2)/25)+2)</f>
        <v/>
      </c>
      <c r="C143" s="53">
        <f>CHOOSE(MOD(ROW()-2,26)+1,
"D20","D21","D28","D29","D81","E21","E31","E51","E61","E62","E73","E83","F01","F11","F12","G12","H41","E01","I21","I41","E91","E92","E23","E81","D22","D20")</f>
        <v/>
      </c>
      <c r="D143" s="54">
        <f>CHOOSE(MOD(ROW()-2,25)+1,
"BNF","BND","BNN","BNS","BIA",
"BUK","BIR","BBE","BNL","BNL",
"BFR","BIG","BSW","BIT","BIT",
"BES","BPT","BIE","BPL1","BCZ1",
"BAT","BAT","BUK","BIG","BND")</f>
        <v/>
      </c>
      <c r="E143" s="59">
        <f>"01"</f>
        <v/>
      </c>
      <c r="F143" s="54">
        <f>CHOOSE(MOD(ROW()-2,25)+1,
"D20","D21","D28","D29","D81",
"E21","E31","E51","E61","E62",
"E73","E83","F01","F11","F12",
"G12","H41","E01","E92","E92",
"E92","E92","E21","E83","D22")</f>
        <v/>
      </c>
      <c r="G143" s="48">
        <f t="array" ref="G143">INDEX('BIE Creation Sheet'!X:X,INT((ROW()-2)/25)+2)</f>
        <v/>
      </c>
      <c r="H143" s="64">
        <f t="array" ref="H143">INDEX('BIE Creation Sheet'!R:R,INT((ROW()-2)/25)+2)</f>
        <v/>
      </c>
      <c r="I143" s="54">
        <f>CHOOSE(MOD(ROW()-2,25)+1,
"FI","DK","SV","NO","DE",
"GB","IR","BE","NL","NL",
"FR","DE","CH","IT","IT",
"ES","PT","GB","PL","CZ",
"AT","AT","GB","DE","DK")</f>
        <v/>
      </c>
      <c r="J143" s="0">
        <f>0.01</f>
        <v/>
      </c>
    </row>
    <row r="144" ht="15.9" customHeight="1" s="1">
      <c r="A144" s="42" t="n"/>
      <c r="B144" s="68">
        <f t="array" ref="B144">INDEX('BIE Creation Sheet'!L:L,INT((ROW()-2)/25)+2)</f>
        <v/>
      </c>
      <c r="C144" s="53">
        <f>CHOOSE(MOD(ROW()-2,26)+1,
"D20","D21","D28","D29","D81","E21","E31","E51","E61","E62","E73","E83","F01","F11","F12","G12","H41","E01","I21","I41","E91","E92","E23","E81","D22","D20")</f>
        <v/>
      </c>
      <c r="D144" s="54">
        <f>CHOOSE(MOD(ROW()-2,25)+1,
"BNF","BND","BNN","BNS","BIA",
"BUK","BIR","BBE","BNL","BNL",
"BFR","BIG","BSW","BIT","BIT",
"BES","BPT","BIE","BPL1","BCZ1",
"BAT","BAT","BUK","BIG","BND")</f>
        <v/>
      </c>
      <c r="E144" s="59">
        <f>"01"</f>
        <v/>
      </c>
      <c r="F144" s="54">
        <f>CHOOSE(MOD(ROW()-2,25)+1,
"D20","D21","D28","D29","D81",
"E21","E31","E51","E61","E62",
"E73","E83","F01","F11","F12",
"G12","H41","E01","E92","E92",
"E92","E92","E21","E83","D22")</f>
        <v/>
      </c>
      <c r="G144" s="48">
        <f t="array" ref="G144">INDEX('BIE Creation Sheet'!X:X,INT((ROW()-2)/25)+2)</f>
        <v/>
      </c>
      <c r="H144" s="64">
        <f t="array" ref="H144">INDEX('BIE Creation Sheet'!R:R,INT((ROW()-2)/25)+2)</f>
        <v/>
      </c>
      <c r="I144" s="54">
        <f>CHOOSE(MOD(ROW()-2,25)+1,
"FI","DK","SV","NO","DE",
"GB","IR","BE","NL","NL",
"FR","DE","CH","IT","IT",
"ES","PT","GB","PL","CZ",
"AT","AT","GB","DE","DK")</f>
        <v/>
      </c>
      <c r="J144" s="0">
        <f>0.01</f>
        <v/>
      </c>
    </row>
    <row r="145" ht="15.9" customHeight="1" s="1">
      <c r="A145" s="42" t="n"/>
      <c r="B145" s="68">
        <f t="array" ref="B145">INDEX('BIE Creation Sheet'!L:L,INT((ROW()-2)/25)+2)</f>
        <v/>
      </c>
      <c r="C145" s="53">
        <f>CHOOSE(MOD(ROW()-2,26)+1,
"D20","D21","D28","D29","D81","E21","E31","E51","E61","E62","E73","E83","F01","F11","F12","G12","H41","E01","I21","I41","E91","E92","E23","E81","D22","D20")</f>
        <v/>
      </c>
      <c r="D145" s="54">
        <f>CHOOSE(MOD(ROW()-2,25)+1,
"BNF","BND","BNN","BNS","BIA",
"BUK","BIR","BBE","BNL","BNL",
"BFR","BIG","BSW","BIT","BIT",
"BES","BPT","BIE","BPL1","BCZ1",
"BAT","BAT","BUK","BIG","BND")</f>
        <v/>
      </c>
      <c r="E145" s="59">
        <f>"01"</f>
        <v/>
      </c>
      <c r="F145" s="54">
        <f>CHOOSE(MOD(ROW()-2,25)+1,
"D20","D21","D28","D29","D81",
"E21","E31","E51","E61","E62",
"E73","E83","F01","F11","F12",
"G12","H41","E01","E92","E92",
"E92","E92","E21","E83","D22")</f>
        <v/>
      </c>
      <c r="G145" s="48">
        <f t="array" ref="G145">INDEX('BIE Creation Sheet'!X:X,INT((ROW()-2)/25)+2)</f>
        <v/>
      </c>
      <c r="H145" s="64">
        <f t="array" ref="H145">INDEX('BIE Creation Sheet'!R:R,INT((ROW()-2)/25)+2)</f>
        <v/>
      </c>
      <c r="I145" s="54">
        <f>CHOOSE(MOD(ROW()-2,25)+1,
"FI","DK","SV","NO","DE",
"GB","IR","BE","NL","NL",
"FR","DE","CH","IT","IT",
"ES","PT","GB","PL","CZ",
"AT","AT","GB","DE","DK")</f>
        <v/>
      </c>
      <c r="J145" s="0">
        <f>0.01</f>
        <v/>
      </c>
    </row>
    <row r="146" ht="15.9" customHeight="1" s="1">
      <c r="A146" s="42" t="n"/>
      <c r="B146" s="68">
        <f t="array" ref="B146">INDEX('BIE Creation Sheet'!L:L,INT((ROW()-2)/25)+2)</f>
        <v/>
      </c>
      <c r="C146" s="53">
        <f>CHOOSE(MOD(ROW()-2,26)+1,
"D20","D21","D28","D29","D81","E21","E31","E51","E61","E62","E73","E83","F01","F11","F12","G12","H41","E01","I21","I41","E91","E92","E23","E81","D22","D20")</f>
        <v/>
      </c>
      <c r="D146" s="54">
        <f>CHOOSE(MOD(ROW()-2,25)+1,
"BNF","BND","BNN","BNS","BIA",
"BUK","BIR","BBE","BNL","BNL",
"BFR","BIG","BSW","BIT","BIT",
"BES","BPT","BIE","BPL1","BCZ1",
"BAT","BAT","BUK","BIG","BND")</f>
        <v/>
      </c>
      <c r="E146" s="59">
        <f>"01"</f>
        <v/>
      </c>
      <c r="F146" s="54">
        <f>CHOOSE(MOD(ROW()-2,25)+1,
"D20","D21","D28","D29","D81",
"E21","E31","E51","E61","E62",
"E73","E83","F01","F11","F12",
"G12","H41","E01","E92","E92",
"E92","E92","E21","E83","D22")</f>
        <v/>
      </c>
      <c r="G146" s="48">
        <f t="array" ref="G146">INDEX('BIE Creation Sheet'!X:X,INT((ROW()-2)/25)+2)</f>
        <v/>
      </c>
      <c r="H146" s="64">
        <f t="array" ref="H146">INDEX('BIE Creation Sheet'!R:R,INT((ROW()-2)/25)+2)</f>
        <v/>
      </c>
      <c r="I146" s="54">
        <f>CHOOSE(MOD(ROW()-2,25)+1,
"FI","DK","SV","NO","DE",
"GB","IR","BE","NL","NL",
"FR","DE","CH","IT","IT",
"ES","PT","GB","PL","CZ",
"AT","AT","GB","DE","DK")</f>
        <v/>
      </c>
      <c r="J146" s="0">
        <f>0.01</f>
        <v/>
      </c>
    </row>
    <row r="147" ht="15.9" customHeight="1" s="1">
      <c r="A147" s="42" t="n"/>
      <c r="B147" s="68">
        <f t="array" ref="B147">INDEX('BIE Creation Sheet'!L:L,INT((ROW()-2)/25)+2)</f>
        <v/>
      </c>
      <c r="C147" s="53">
        <f>CHOOSE(MOD(ROW()-2,26)+1,
"D20","D21","D28","D29","D81","E21","E31","E51","E61","E62","E73","E83","F01","F11","F12","G12","H41","E01","I21","I41","E91","E92","E23","E81","D22","D20")</f>
        <v/>
      </c>
      <c r="D147" s="54">
        <f>CHOOSE(MOD(ROW()-2,25)+1,
"BNF","BND","BNN","BNS","BIA",
"BUK","BIR","BBE","BNL","BNL",
"BFR","BIG","BSW","BIT","BIT",
"BES","BPT","BIE","BPL1","BCZ1",
"BAT","BAT","BUK","BIG","BND")</f>
        <v/>
      </c>
      <c r="E147" s="59">
        <f>"01"</f>
        <v/>
      </c>
      <c r="F147" s="54">
        <f>CHOOSE(MOD(ROW()-2,25)+1,
"D20","D21","D28","D29","D81",
"E21","E31","E51","E61","E62",
"E73","E83","F01","F11","F12",
"G12","H41","E01","E92","E92",
"E92","E92","E21","E83","D22")</f>
        <v/>
      </c>
      <c r="G147" s="48">
        <f t="array" ref="G147">INDEX('BIE Creation Sheet'!X:X,INT((ROW()-2)/25)+2)</f>
        <v/>
      </c>
      <c r="H147" s="64">
        <f t="array" ref="H147">INDEX('BIE Creation Sheet'!R:R,INT((ROW()-2)/25)+2)</f>
        <v/>
      </c>
      <c r="I147" s="54">
        <f>CHOOSE(MOD(ROW()-2,25)+1,
"FI","DK","SV","NO","DE",
"GB","IR","BE","NL","NL",
"FR","DE","CH","IT","IT",
"ES","PT","GB","PL","CZ",
"AT","AT","GB","DE","DK")</f>
        <v/>
      </c>
      <c r="J147" s="0">
        <f>0.01</f>
        <v/>
      </c>
    </row>
    <row r="148" ht="15.9" customHeight="1" s="1">
      <c r="A148" s="42" t="n"/>
      <c r="B148" s="68">
        <f t="array" ref="B148">INDEX('BIE Creation Sheet'!L:L,INT((ROW()-2)/25)+2)</f>
        <v/>
      </c>
      <c r="C148" s="53">
        <f>CHOOSE(MOD(ROW()-2,26)+1,
"D20","D21","D28","D29","D81","E21","E31","E51","E61","E62","E73","E83","F01","F11","F12","G12","H41","E01","I21","I41","E91","E92","E23","E81","D22","D20")</f>
        <v/>
      </c>
      <c r="D148" s="54">
        <f>CHOOSE(MOD(ROW()-2,25)+1,
"BNF","BND","BNN","BNS","BIA",
"BUK","BIR","BBE","BNL","BNL",
"BFR","BIG","BSW","BIT","BIT",
"BES","BPT","BIE","BPL1","BCZ1",
"BAT","BAT","BUK","BIG","BND")</f>
        <v/>
      </c>
      <c r="E148" s="59">
        <f>"01"</f>
        <v/>
      </c>
      <c r="F148" s="54">
        <f>CHOOSE(MOD(ROW()-2,25)+1,
"D20","D21","D28","D29","D81",
"E21","E31","E51","E61","E62",
"E73","E83","F01","F11","F12",
"G12","H41","E01","E92","E92",
"E92","E92","E21","E83","D22")</f>
        <v/>
      </c>
      <c r="G148" s="48">
        <f t="array" ref="G148">INDEX('BIE Creation Sheet'!X:X,INT((ROW()-2)/25)+2)</f>
        <v/>
      </c>
      <c r="H148" s="64">
        <f t="array" ref="H148">INDEX('BIE Creation Sheet'!R:R,INT((ROW()-2)/25)+2)</f>
        <v/>
      </c>
      <c r="I148" s="54">
        <f>CHOOSE(MOD(ROW()-2,25)+1,
"FI","DK","SV","NO","DE",
"GB","IR","BE","NL","NL",
"FR","DE","CH","IT","IT",
"ES","PT","GB","PL","CZ",
"AT","AT","GB","DE","DK")</f>
        <v/>
      </c>
      <c r="J148" s="0">
        <f>0.01</f>
        <v/>
      </c>
    </row>
    <row r="149" ht="15.9" customHeight="1" s="1">
      <c r="A149" s="42" t="n"/>
      <c r="B149" s="68">
        <f t="array" ref="B149">INDEX('BIE Creation Sheet'!L:L,INT((ROW()-2)/25)+2)</f>
        <v/>
      </c>
      <c r="C149" s="53">
        <f>CHOOSE(MOD(ROW()-2,26)+1,
"D20","D21","D28","D29","D81","E21","E31","E51","E61","E62","E73","E83","F01","F11","F12","G12","H41","E01","I21","I41","E91","E92","E23","E81","D22","D20")</f>
        <v/>
      </c>
      <c r="D149" s="54">
        <f>CHOOSE(MOD(ROW()-2,25)+1,
"BNF","BND","BNN","BNS","BIA",
"BUK","BIR","BBE","BNL","BNL",
"BFR","BIG","BSW","BIT","BIT",
"BES","BPT","BIE","BPL1","BCZ1",
"BAT","BAT","BUK","BIG","BND")</f>
        <v/>
      </c>
      <c r="E149" s="59">
        <f>"01"</f>
        <v/>
      </c>
      <c r="F149" s="54">
        <f>CHOOSE(MOD(ROW()-2,25)+1,
"D20","D21","D28","D29","D81",
"E21","E31","E51","E61","E62",
"E73","E83","F01","F11","F12",
"G12","H41","E01","E92","E92",
"E92","E92","E21","E83","D22")</f>
        <v/>
      </c>
      <c r="G149" s="48">
        <f t="array" ref="G149">INDEX('BIE Creation Sheet'!X:X,INT((ROW()-2)/25)+2)</f>
        <v/>
      </c>
      <c r="H149" s="64">
        <f t="array" ref="H149">INDEX('BIE Creation Sheet'!R:R,INT((ROW()-2)/25)+2)</f>
        <v/>
      </c>
      <c r="I149" s="54">
        <f>CHOOSE(MOD(ROW()-2,25)+1,
"FI","DK","SV","NO","DE",
"GB","IR","BE","NL","NL",
"FR","DE","CH","IT","IT",
"ES","PT","GB","PL","CZ",
"AT","AT","GB","DE","DK")</f>
        <v/>
      </c>
      <c r="J149" s="0">
        <f>0.01</f>
        <v/>
      </c>
    </row>
    <row r="150" ht="15.9" customHeight="1" s="1">
      <c r="A150" s="42" t="n"/>
      <c r="B150" s="68">
        <f t="array" ref="B150">INDEX('BIE Creation Sheet'!L:L,INT((ROW()-2)/25)+2)</f>
        <v/>
      </c>
      <c r="C150" s="53">
        <f>CHOOSE(MOD(ROW()-2,26)+1,
"D20","D21","D28","D29","D81","E21","E31","E51","E61","E62","E73","E83","F01","F11","F12","G12","H41","E01","I21","I41","E91","E92","E23","E81","D22","D20")</f>
        <v/>
      </c>
      <c r="D150" s="54">
        <f>CHOOSE(MOD(ROW()-2,25)+1,
"BNF","BND","BNN","BNS","BIA",
"BUK","BIR","BBE","BNL","BNL",
"BFR","BIG","BSW","BIT","BIT",
"BES","BPT","BIE","BPL1","BCZ1",
"BAT","BAT","BUK","BIG","BND")</f>
        <v/>
      </c>
      <c r="E150" s="59">
        <f>"01"</f>
        <v/>
      </c>
      <c r="F150" s="54">
        <f>CHOOSE(MOD(ROW()-2,25)+1,
"D20","D21","D28","D29","D81",
"E21","E31","E51","E61","E62",
"E73","E83","F01","F11","F12",
"G12","H41","E01","E92","E92",
"E92","E92","E21","E83","D22")</f>
        <v/>
      </c>
      <c r="G150" s="48">
        <f t="array" ref="G150">INDEX('BIE Creation Sheet'!X:X,INT((ROW()-2)/25)+2)</f>
        <v/>
      </c>
      <c r="H150" s="64">
        <f t="array" ref="H150">INDEX('BIE Creation Sheet'!R:R,INT((ROW()-2)/25)+2)</f>
        <v/>
      </c>
      <c r="I150" s="54">
        <f>CHOOSE(MOD(ROW()-2,25)+1,
"FI","DK","SV","NO","DE",
"GB","IR","BE","NL","NL",
"FR","DE","CH","IT","IT",
"ES","PT","GB","PL","CZ",
"AT","AT","GB","DE","DK")</f>
        <v/>
      </c>
      <c r="J150" s="0">
        <f>0.01</f>
        <v/>
      </c>
    </row>
    <row r="151" ht="15.9" customHeight="1" s="1">
      <c r="A151" s="42" t="n"/>
      <c r="B151" s="68">
        <f t="array" ref="B151">INDEX('BIE Creation Sheet'!L:L,INT((ROW()-2)/25)+2)</f>
        <v/>
      </c>
      <c r="C151" s="53">
        <f>CHOOSE(MOD(ROW()-2,26)+1,
"D20","D21","D28","D29","D81","E21","E31","E51","E61","E62","E73","E83","F01","F11","F12","G12","H41","E01","I21","I41","E91","E92","E23","E81","D22","D20")</f>
        <v/>
      </c>
      <c r="D151" s="54">
        <f>CHOOSE(MOD(ROW()-2,25)+1,
"BNF","BND","BNN","BNS","BIA",
"BUK","BIR","BBE","BNL","BNL",
"BFR","BIG","BSW","BIT","BIT",
"BES","BPT","BIE","BPL1","BCZ1",
"BAT","BAT","BUK","BIG","BND")</f>
        <v/>
      </c>
      <c r="E151" s="59">
        <f>"01"</f>
        <v/>
      </c>
      <c r="F151" s="54">
        <f>CHOOSE(MOD(ROW()-2,25)+1,
"D20","D21","D28","D29","D81",
"E21","E31","E51","E61","E62",
"E73","E83","F01","F11","F12",
"G12","H41","E01","E92","E92",
"E92","E92","E21","E83","D22")</f>
        <v/>
      </c>
      <c r="G151" s="48">
        <f t="array" ref="G151">INDEX('BIE Creation Sheet'!X:X,INT((ROW()-2)/25)+2)</f>
        <v/>
      </c>
      <c r="H151" s="64">
        <f t="array" ref="H151">INDEX('BIE Creation Sheet'!R:R,INT((ROW()-2)/25)+2)</f>
        <v/>
      </c>
      <c r="I151" s="54">
        <f>CHOOSE(MOD(ROW()-2,25)+1,
"FI","DK","SV","NO","DE",
"GB","IR","BE","NL","NL",
"FR","DE","CH","IT","IT",
"ES","PT","GB","PL","CZ",
"AT","AT","GB","DE","DK")</f>
        <v/>
      </c>
      <c r="J151" s="0">
        <f>0.01</f>
        <v/>
      </c>
    </row>
    <row r="152" ht="15.9" customHeight="1" s="1">
      <c r="A152" s="42" t="n"/>
      <c r="B152" s="68">
        <f t="array" ref="B152">INDEX('BIE Creation Sheet'!L:L,INT((ROW()-2)/25)+2)</f>
        <v/>
      </c>
      <c r="C152" s="53">
        <f>CHOOSE(MOD(ROW()-2,26)+1,
"D20","D21","D28","D29","D81","E21","E31","E51","E61","E62","E73","E83","F01","F11","F12","G12","H41","E01","I21","I41","E91","E92","E23","E81","D22","D20")</f>
        <v/>
      </c>
      <c r="D152" s="54">
        <f>CHOOSE(MOD(ROW()-2,25)+1,
"BNF","BND","BNN","BNS","BIA",
"BUK","BIR","BBE","BNL","BNL",
"BFR","BIG","BSW","BIT","BIT",
"BES","BPT","BIE","BPL1","BCZ1",
"BAT","BAT","BUK","BIG","BND")</f>
        <v/>
      </c>
      <c r="E152" s="59">
        <f>"01"</f>
        <v/>
      </c>
      <c r="F152" s="54">
        <f>CHOOSE(MOD(ROW()-2,25)+1,
"D20","D21","D28","D29","D81",
"E21","E31","E51","E61","E62",
"E73","E83","F01","F11","F12",
"G12","H41","E01","E92","E92",
"E92","E92","E21","E83","D22")</f>
        <v/>
      </c>
      <c r="G152" s="48">
        <f t="array" ref="G152">INDEX('BIE Creation Sheet'!X:X,INT((ROW()-2)/25)+2)</f>
        <v/>
      </c>
      <c r="H152" s="64">
        <f t="array" ref="H152">INDEX('BIE Creation Sheet'!R:R,INT((ROW()-2)/25)+2)</f>
        <v/>
      </c>
      <c r="I152" s="54">
        <f>CHOOSE(MOD(ROW()-2,25)+1,
"FI","DK","SV","NO","DE",
"GB","IR","BE","NL","NL",
"FR","DE","CH","IT","IT",
"ES","PT","GB","PL","CZ",
"AT","AT","GB","DE","DK")</f>
        <v/>
      </c>
      <c r="J152" s="0">
        <f>0.01</f>
        <v/>
      </c>
    </row>
    <row r="153" ht="15.9" customHeight="1" s="1">
      <c r="A153" s="42" t="n"/>
      <c r="B153" s="68">
        <f t="array" ref="B153">INDEX('BIE Creation Sheet'!L:L,INT((ROW()-2)/25)+2)</f>
        <v/>
      </c>
      <c r="C153" s="53">
        <f>CHOOSE(MOD(ROW()-2,26)+1,
"D20","D21","D28","D29","D81","E21","E31","E51","E61","E62","E73","E83","F01","F11","F12","G12","H41","E01","I21","I41","E91","E92","E23","E81","D22","D20")</f>
        <v/>
      </c>
      <c r="D153" s="54">
        <f>CHOOSE(MOD(ROW()-2,25)+1,
"BNF","BND","BNN","BNS","BIA",
"BUK","BIR","BBE","BNL","BNL",
"BFR","BIG","BSW","BIT","BIT",
"BES","BPT","BIE","BPL1","BCZ1",
"BAT","BAT","BUK","BIG","BND")</f>
        <v/>
      </c>
      <c r="E153" s="59">
        <f>"01"</f>
        <v/>
      </c>
      <c r="F153" s="54">
        <f>CHOOSE(MOD(ROW()-2,25)+1,
"D20","D21","D28","D29","D81",
"E21","E31","E51","E61","E62",
"E73","E83","F01","F11","F12",
"G12","H41","E01","E92","E92",
"E92","E92","E21","E83","D22")</f>
        <v/>
      </c>
      <c r="G153" s="48">
        <f t="array" ref="G153">INDEX('BIE Creation Sheet'!X:X,INT((ROW()-2)/25)+2)</f>
        <v/>
      </c>
      <c r="H153" s="64">
        <f t="array" ref="H153">INDEX('BIE Creation Sheet'!R:R,INT((ROW()-2)/25)+2)</f>
        <v/>
      </c>
      <c r="I153" s="54">
        <f>CHOOSE(MOD(ROW()-2,25)+1,
"FI","DK","SV","NO","DE",
"GB","IR","BE","NL","NL",
"FR","DE","CH","IT","IT",
"ES","PT","GB","PL","CZ",
"AT","AT","GB","DE","DK")</f>
        <v/>
      </c>
      <c r="J153" s="0">
        <f>0.01</f>
        <v/>
      </c>
    </row>
    <row r="154" ht="15.9" customHeight="1" s="1">
      <c r="A154" s="42" t="n"/>
      <c r="B154" s="68">
        <f t="array" ref="B154">INDEX('BIE Creation Sheet'!L:L,INT((ROW()-2)/25)+2)</f>
        <v/>
      </c>
      <c r="C154" s="53">
        <f>CHOOSE(MOD(ROW()-2,26)+1,
"D20","D21","D28","D29","D81","E21","E31","E51","E61","E62","E73","E83","F01","F11","F12","G12","H41","E01","I21","I41","E91","E92","E23","E81","D22","D20")</f>
        <v/>
      </c>
      <c r="D154" s="54">
        <f>CHOOSE(MOD(ROW()-2,25)+1,
"BNF","BND","BNN","BNS","BIA",
"BUK","BIR","BBE","BNL","BNL",
"BFR","BIG","BSW","BIT","BIT",
"BES","BPT","BIE","BPL1","BCZ1",
"BAT","BAT","BUK","BIG","BND")</f>
        <v/>
      </c>
      <c r="E154" s="59">
        <f>"01"</f>
        <v/>
      </c>
      <c r="F154" s="54">
        <f>CHOOSE(MOD(ROW()-2,25)+1,
"D20","D21","D28","D29","D81",
"E21","E31","E51","E61","E62",
"E73","E83","F01","F11","F12",
"G12","H41","E01","E92","E92",
"E92","E92","E21","E83","D22")</f>
        <v/>
      </c>
      <c r="G154" s="48">
        <f t="array" ref="G154">INDEX('BIE Creation Sheet'!X:X,INT((ROW()-2)/25)+2)</f>
        <v/>
      </c>
      <c r="H154" s="64">
        <f t="array" ref="H154">INDEX('BIE Creation Sheet'!R:R,INT((ROW()-2)/25)+2)</f>
        <v/>
      </c>
      <c r="I154" s="54">
        <f>CHOOSE(MOD(ROW()-2,25)+1,
"FI","DK","SV","NO","DE",
"GB","IR","BE","NL","NL",
"FR","DE","CH","IT","IT",
"ES","PT","GB","PL","CZ",
"AT","AT","GB","DE","DK")</f>
        <v/>
      </c>
      <c r="J154" s="0">
        <f>0.01</f>
        <v/>
      </c>
    </row>
    <row r="155" ht="15.9" customHeight="1" s="1">
      <c r="A155" s="42" t="n"/>
      <c r="B155" s="68">
        <f t="array" ref="B155">INDEX('BIE Creation Sheet'!L:L,INT((ROW()-2)/25)+2)</f>
        <v/>
      </c>
      <c r="C155" s="53">
        <f>CHOOSE(MOD(ROW()-2,26)+1,
"D20","D21","D28","D29","D81","E21","E31","E51","E61","E62","E73","E83","F01","F11","F12","G12","H41","E01","I21","I41","E91","E92","E23","E81","D22","D20")</f>
        <v/>
      </c>
      <c r="D155" s="54">
        <f>CHOOSE(MOD(ROW()-2,25)+1,
"BNF","BND","BNN","BNS","BIA",
"BUK","BIR","BBE","BNL","BNL",
"BFR","BIG","BSW","BIT","BIT",
"BES","BPT","BIE","BPL1","BCZ1",
"BAT","BAT","BUK","BIG","BND")</f>
        <v/>
      </c>
      <c r="E155" s="59">
        <f>"01"</f>
        <v/>
      </c>
      <c r="F155" s="54">
        <f>CHOOSE(MOD(ROW()-2,25)+1,
"D20","D21","D28","D29","D81",
"E21","E31","E51","E61","E62",
"E73","E83","F01","F11","F12",
"G12","H41","E01","E92","E92",
"E92","E92","E21","E83","D22")</f>
        <v/>
      </c>
      <c r="G155" s="48">
        <f t="array" ref="G155">INDEX('BIE Creation Sheet'!X:X,INT((ROW()-2)/25)+2)</f>
        <v/>
      </c>
      <c r="H155" s="64">
        <f t="array" ref="H155">INDEX('BIE Creation Sheet'!R:R,INT((ROW()-2)/25)+2)</f>
        <v/>
      </c>
      <c r="I155" s="54">
        <f>CHOOSE(MOD(ROW()-2,25)+1,
"FI","DK","SV","NO","DE",
"GB","IR","BE","NL","NL",
"FR","DE","CH","IT","IT",
"ES","PT","GB","PL","CZ",
"AT","AT","GB","DE","DK")</f>
        <v/>
      </c>
      <c r="J155" s="0">
        <f>0.01</f>
        <v/>
      </c>
    </row>
    <row r="156" ht="15.9" customHeight="1" s="1">
      <c r="A156" s="42" t="n"/>
      <c r="B156" s="68">
        <f t="array" ref="B156">INDEX('BIE Creation Sheet'!L:L,INT((ROW()-2)/25)+2)</f>
        <v/>
      </c>
      <c r="C156" s="53">
        <f>CHOOSE(MOD(ROW()-2,26)+1,
"D20","D21","D28","D29","D81","E21","E31","E51","E61","E62","E73","E83","F01","F11","F12","G12","H41","E01","I21","I41","E91","E92","E23","E81","D22","D20")</f>
        <v/>
      </c>
      <c r="D156" s="54">
        <f>CHOOSE(MOD(ROW()-2,25)+1,
"BNF","BND","BNN","BNS","BIA",
"BUK","BIR","BBE","BNL","BNL",
"BFR","BIG","BSW","BIT","BIT",
"BES","BPT","BIE","BPL1","BCZ1",
"BAT","BAT","BUK","BIG","BND")</f>
        <v/>
      </c>
      <c r="E156" s="59">
        <f>"01"</f>
        <v/>
      </c>
      <c r="F156" s="54">
        <f>CHOOSE(MOD(ROW()-2,25)+1,
"D20","D21","D28","D29","D81",
"E21","E31","E51","E61","E62",
"E73","E83","F01","F11","F12",
"G12","H41","E01","E92","E92",
"E92","E92","E21","E83","D22")</f>
        <v/>
      </c>
      <c r="G156" s="48">
        <f t="array" ref="G156">INDEX('BIE Creation Sheet'!X:X,INT((ROW()-2)/25)+2)</f>
        <v/>
      </c>
      <c r="H156" s="64">
        <f t="array" ref="H156">INDEX('BIE Creation Sheet'!R:R,INT((ROW()-2)/25)+2)</f>
        <v/>
      </c>
      <c r="I156" s="54">
        <f>CHOOSE(MOD(ROW()-2,25)+1,
"FI","DK","SV","NO","DE",
"GB","IR","BE","NL","NL",
"FR","DE","CH","IT","IT",
"ES","PT","GB","PL","CZ",
"AT","AT","GB","DE","DK")</f>
        <v/>
      </c>
      <c r="J156" s="0">
        <f>0.01</f>
        <v/>
      </c>
    </row>
    <row r="157" ht="15.9" customHeight="1" s="1">
      <c r="A157" s="42" t="n"/>
      <c r="B157" s="68">
        <f t="array" ref="B157">INDEX('BIE Creation Sheet'!L:L,INT((ROW()-2)/25)+2)</f>
        <v/>
      </c>
      <c r="C157" s="53">
        <f>CHOOSE(MOD(ROW()-2,26)+1,
"D20","D21","D28","D29","D81","E21","E31","E51","E61","E62","E73","E83","F01","F11","F12","G12","H41","E01","I21","I41","E91","E92","E23","E81","D22","D20")</f>
        <v/>
      </c>
      <c r="D157" s="54">
        <f>CHOOSE(MOD(ROW()-2,25)+1,
"BNF","BND","BNN","BNS","BIA",
"BUK","BIR","BBE","BNL","BNL",
"BFR","BIG","BSW","BIT","BIT",
"BES","BPT","BIE","BPL1","BCZ1",
"BAT","BAT","BUK","BIG","BND")</f>
        <v/>
      </c>
      <c r="E157" s="59">
        <f>"01"</f>
        <v/>
      </c>
      <c r="F157" s="54">
        <f>CHOOSE(MOD(ROW()-2,25)+1,
"D20","D21","D28","D29","D81",
"E21","E31","E51","E61","E62",
"E73","E83","F01","F11","F12",
"G12","H41","E01","E92","E92",
"E92","E92","E21","E83","D22")</f>
        <v/>
      </c>
      <c r="G157" s="48">
        <f t="array" ref="G157">INDEX('BIE Creation Sheet'!X:X,INT((ROW()-2)/25)+2)</f>
        <v/>
      </c>
      <c r="H157" s="64">
        <f t="array" ref="H157">INDEX('BIE Creation Sheet'!R:R,INT((ROW()-2)/25)+2)</f>
        <v/>
      </c>
      <c r="I157" s="54">
        <f>CHOOSE(MOD(ROW()-2,25)+1,
"FI","DK","SV","NO","DE",
"GB","IR","BE","NL","NL",
"FR","DE","CH","IT","IT",
"ES","PT","GB","PL","CZ",
"AT","AT","GB","DE","DK")</f>
        <v/>
      </c>
      <c r="J157" s="0">
        <f>0.01</f>
        <v/>
      </c>
    </row>
    <row r="158" ht="15.9" customHeight="1" s="1">
      <c r="A158" s="42" t="n"/>
      <c r="B158" s="68">
        <f t="array" ref="B158">INDEX('BIE Creation Sheet'!L:L,INT((ROW()-2)/25)+2)</f>
        <v/>
      </c>
      <c r="C158" s="53">
        <f>CHOOSE(MOD(ROW()-2,26)+1,
"D20","D21","D28","D29","D81","E21","E31","E51","E61","E62","E73","E83","F01","F11","F12","G12","H41","E01","I21","I41","E91","E92","E23","E81","D22","D20")</f>
        <v/>
      </c>
      <c r="D158" s="54">
        <f>CHOOSE(MOD(ROW()-2,25)+1,
"BNF","BND","BNN","BNS","BIA",
"BUK","BIR","BBE","BNL","BNL",
"BFR","BIG","BSW","BIT","BIT",
"BES","BPT","BIE","BPL1","BCZ1",
"BAT","BAT","BUK","BIG","BND")</f>
        <v/>
      </c>
      <c r="E158" s="59">
        <f>"01"</f>
        <v/>
      </c>
      <c r="F158" s="54">
        <f>CHOOSE(MOD(ROW()-2,25)+1,
"D20","D21","D28","D29","D81",
"E21","E31","E51","E61","E62",
"E73","E83","F01","F11","F12",
"G12","H41","E01","E92","E92",
"E92","E92","E21","E83","D22")</f>
        <v/>
      </c>
      <c r="G158" s="48">
        <f t="array" ref="G158">INDEX('BIE Creation Sheet'!X:X,INT((ROW()-2)/25)+2)</f>
        <v/>
      </c>
      <c r="H158" s="64">
        <f t="array" ref="H158">INDEX('BIE Creation Sheet'!R:R,INT((ROW()-2)/25)+2)</f>
        <v/>
      </c>
      <c r="I158" s="54">
        <f>CHOOSE(MOD(ROW()-2,25)+1,
"FI","DK","SV","NO","DE",
"GB","IR","BE","NL","NL",
"FR","DE","CH","IT","IT",
"ES","PT","GB","PL","CZ",
"AT","AT","GB","DE","DK")</f>
        <v/>
      </c>
      <c r="J158" s="0">
        <f>0.01</f>
        <v/>
      </c>
    </row>
    <row r="159" ht="15.9" customHeight="1" s="1">
      <c r="A159" s="42" t="n"/>
      <c r="B159" s="68">
        <f t="array" ref="B159">INDEX('BIE Creation Sheet'!L:L,INT((ROW()-2)/25)+2)</f>
        <v/>
      </c>
      <c r="C159" s="53">
        <f>CHOOSE(MOD(ROW()-2,26)+1,
"D20","D21","D28","D29","D81","E21","E31","E51","E61","E62","E73","E83","F01","F11","F12","G12","H41","E01","I21","I41","E91","E92","E23","E81","D22","D20")</f>
        <v/>
      </c>
      <c r="D159" s="54">
        <f>CHOOSE(MOD(ROW()-2,25)+1,
"BNF","BND","BNN","BNS","BIA",
"BUK","BIR","BBE","BNL","BNL",
"BFR","BIG","BSW","BIT","BIT",
"BES","BPT","BIE","BPL1","BCZ1",
"BAT","BAT","BUK","BIG","BND")</f>
        <v/>
      </c>
      <c r="E159" s="59">
        <f>"01"</f>
        <v/>
      </c>
      <c r="F159" s="54">
        <f>CHOOSE(MOD(ROW()-2,25)+1,
"D20","D21","D28","D29","D81",
"E21","E31","E51","E61","E62",
"E73","E83","F01","F11","F12",
"G12","H41","E01","E92","E92",
"E92","E92","E21","E83","D22")</f>
        <v/>
      </c>
      <c r="G159" s="48">
        <f t="array" ref="G159">INDEX('BIE Creation Sheet'!X:X,INT((ROW()-2)/25)+2)</f>
        <v/>
      </c>
      <c r="H159" s="64">
        <f t="array" ref="H159">INDEX('BIE Creation Sheet'!R:R,INT((ROW()-2)/25)+2)</f>
        <v/>
      </c>
      <c r="I159" s="54">
        <f>CHOOSE(MOD(ROW()-2,25)+1,
"FI","DK","SV","NO","DE",
"GB","IR","BE","NL","NL",
"FR","DE","CH","IT","IT",
"ES","PT","GB","PL","CZ",
"AT","AT","GB","DE","DK")</f>
        <v/>
      </c>
      <c r="J159" s="0">
        <f>0.01</f>
        <v/>
      </c>
    </row>
    <row r="160" ht="15.9" customHeight="1" s="1">
      <c r="A160" s="42" t="n"/>
      <c r="B160" s="68">
        <f t="array" ref="B160">INDEX('BIE Creation Sheet'!L:L,INT((ROW()-2)/25)+2)</f>
        <v/>
      </c>
      <c r="C160" s="53">
        <f>CHOOSE(MOD(ROW()-2,26)+1,
"D20","D21","D28","D29","D81","E21","E31","E51","E61","E62","E73","E83","F01","F11","F12","G12","H41","E01","I21","I41","E91","E92","E23","E81","D22","D20")</f>
        <v/>
      </c>
      <c r="D160" s="54">
        <f>CHOOSE(MOD(ROW()-2,25)+1,
"BNF","BND","BNN","BNS","BIA",
"BUK","BIR","BBE","BNL","BNL",
"BFR","BIG","BSW","BIT","BIT",
"BES","BPT","BIE","BPL1","BCZ1",
"BAT","BAT","BUK","BIG","BND")</f>
        <v/>
      </c>
      <c r="E160" s="59">
        <f>"01"</f>
        <v/>
      </c>
      <c r="F160" s="54">
        <f>CHOOSE(MOD(ROW()-2,25)+1,
"D20","D21","D28","D29","D81",
"E21","E31","E51","E61","E62",
"E73","E83","F01","F11","F12",
"G12","H41","E01","E92","E92",
"E92","E92","E21","E83","D22")</f>
        <v/>
      </c>
      <c r="G160" s="48">
        <f t="array" ref="G160">INDEX('BIE Creation Sheet'!X:X,INT((ROW()-2)/25)+2)</f>
        <v/>
      </c>
      <c r="H160" s="64">
        <f t="array" ref="H160">INDEX('BIE Creation Sheet'!R:R,INT((ROW()-2)/25)+2)</f>
        <v/>
      </c>
      <c r="I160" s="54">
        <f>CHOOSE(MOD(ROW()-2,25)+1,
"FI","DK","SV","NO","DE",
"GB","IR","BE","NL","NL",
"FR","DE","CH","IT","IT",
"ES","PT","GB","PL","CZ",
"AT","AT","GB","DE","DK")</f>
        <v/>
      </c>
      <c r="J160" s="0">
        <f>0.01</f>
        <v/>
      </c>
    </row>
    <row r="161" ht="15.9" customHeight="1" s="1">
      <c r="A161" s="42" t="n"/>
      <c r="B161" s="68">
        <f t="array" ref="B161">INDEX('BIE Creation Sheet'!L:L,INT((ROW()-2)/25)+2)</f>
        <v/>
      </c>
      <c r="C161" s="53">
        <f>CHOOSE(MOD(ROW()-2,26)+1,
"D20","D21","D28","D29","D81","E21","E31","E51","E61","E62","E73","E83","F01","F11","F12","G12","H41","E01","I21","I41","E91","E92","E23","E81","D22","D20")</f>
        <v/>
      </c>
      <c r="D161" s="54">
        <f>CHOOSE(MOD(ROW()-2,25)+1,
"BNF","BND","BNN","BNS","BIA",
"BUK","BIR","BBE","BNL","BNL",
"BFR","BIG","BSW","BIT","BIT",
"BES","BPT","BIE","BPL1","BCZ1",
"BAT","BAT","BUK","BIG","BND")</f>
        <v/>
      </c>
      <c r="E161" s="59">
        <f>"01"</f>
        <v/>
      </c>
      <c r="F161" s="54">
        <f>CHOOSE(MOD(ROW()-2,25)+1,
"D20","D21","D28","D29","D81",
"E21","E31","E51","E61","E62",
"E73","E83","F01","F11","F12",
"G12","H41","E01","E92","E92",
"E92","E92","E21","E83","D22")</f>
        <v/>
      </c>
      <c r="G161" s="48">
        <f t="array" ref="G161">INDEX('BIE Creation Sheet'!X:X,INT((ROW()-2)/25)+2)</f>
        <v/>
      </c>
      <c r="H161" s="64">
        <f t="array" ref="H161">INDEX('BIE Creation Sheet'!R:R,INT((ROW()-2)/25)+2)</f>
        <v/>
      </c>
      <c r="I161" s="54">
        <f>CHOOSE(MOD(ROW()-2,25)+1,
"FI","DK","SV","NO","DE",
"GB","IR","BE","NL","NL",
"FR","DE","CH","IT","IT",
"ES","PT","GB","PL","CZ",
"AT","AT","GB","DE","DK")</f>
        <v/>
      </c>
      <c r="J161" s="0">
        <f>0.01</f>
        <v/>
      </c>
    </row>
    <row r="162" ht="15.9" customHeight="1" s="1">
      <c r="A162" s="42" t="n"/>
      <c r="B162" s="68">
        <f t="array" ref="B162">INDEX('BIE Creation Sheet'!L:L,INT((ROW()-2)/25)+2)</f>
        <v/>
      </c>
      <c r="C162" s="53">
        <f>CHOOSE(MOD(ROW()-2,26)+1,
"D20","D21","D28","D29","D81","E21","E31","E51","E61","E62","E73","E83","F01","F11","F12","G12","H41","E01","I21","I41","E91","E92","E23","E81","D22","D20")</f>
        <v/>
      </c>
      <c r="D162" s="54">
        <f>CHOOSE(MOD(ROW()-2,25)+1,
"BNF","BND","BNN","BNS","BIA",
"BUK","BIR","BBE","BNL","BNL",
"BFR","BIG","BSW","BIT","BIT",
"BES","BPT","BIE","BPL1","BCZ1",
"BAT","BAT","BUK","BIG","BND")</f>
        <v/>
      </c>
      <c r="E162" s="59">
        <f>"01"</f>
        <v/>
      </c>
      <c r="F162" s="54">
        <f>CHOOSE(MOD(ROW()-2,25)+1,
"D20","D21","D28","D29","D81",
"E21","E31","E51","E61","E62",
"E73","E83","F01","F11","F12",
"G12","H41","E01","E92","E92",
"E92","E92","E21","E83","D22")</f>
        <v/>
      </c>
      <c r="G162" s="48">
        <f t="array" ref="G162">INDEX('BIE Creation Sheet'!X:X,INT((ROW()-2)/25)+2)</f>
        <v/>
      </c>
      <c r="H162" s="64">
        <f t="array" ref="H162">INDEX('BIE Creation Sheet'!R:R,INT((ROW()-2)/25)+2)</f>
        <v/>
      </c>
      <c r="I162" s="54">
        <f>CHOOSE(MOD(ROW()-2,25)+1,
"FI","DK","SV","NO","DE",
"GB","IR","BE","NL","NL",
"FR","DE","CH","IT","IT",
"ES","PT","GB","PL","CZ",
"AT","AT","GB","DE","DK")</f>
        <v/>
      </c>
      <c r="J162" s="0">
        <f>0.01</f>
        <v/>
      </c>
    </row>
    <row r="163" ht="15.9" customHeight="1" s="1">
      <c r="A163" s="42" t="n"/>
      <c r="B163" s="68">
        <f t="array" ref="B163">INDEX('BIE Creation Sheet'!L:L,INT((ROW()-2)/25)+2)</f>
        <v/>
      </c>
      <c r="C163" s="53">
        <f>CHOOSE(MOD(ROW()-2,26)+1,
"D20","D21","D28","D29","D81","E21","E31","E51","E61","E62","E73","E83","F01","F11","F12","G12","H41","E01","I21","I41","E91","E92","E23","E81","D22","D20")</f>
        <v/>
      </c>
      <c r="D163" s="54">
        <f>CHOOSE(MOD(ROW()-2,25)+1,
"BNF","BND","BNN","BNS","BIA",
"BUK","BIR","BBE","BNL","BNL",
"BFR","BIG","BSW","BIT","BIT",
"BES","BPT","BIE","BPL1","BCZ1",
"BAT","BAT","BUK","BIG","BND")</f>
        <v/>
      </c>
      <c r="E163" s="59">
        <f>"01"</f>
        <v/>
      </c>
      <c r="F163" s="54">
        <f>CHOOSE(MOD(ROW()-2,25)+1,
"D20","D21","D28","D29","D81",
"E21","E31","E51","E61","E62",
"E73","E83","F01","F11","F12",
"G12","H41","E01","E92","E92",
"E92","E92","E21","E83","D22")</f>
        <v/>
      </c>
      <c r="G163" s="48">
        <f t="array" ref="G163">INDEX('BIE Creation Sheet'!X:X,INT((ROW()-2)/25)+2)</f>
        <v/>
      </c>
      <c r="H163" s="64">
        <f t="array" ref="H163">INDEX('BIE Creation Sheet'!R:R,INT((ROW()-2)/25)+2)</f>
        <v/>
      </c>
      <c r="I163" s="54">
        <f>CHOOSE(MOD(ROW()-2,25)+1,
"FI","DK","SV","NO","DE",
"GB","IR","BE","NL","NL",
"FR","DE","CH","IT","IT",
"ES","PT","GB","PL","CZ",
"AT","AT","GB","DE","DK")</f>
        <v/>
      </c>
      <c r="J163" s="0">
        <f>0.01</f>
        <v/>
      </c>
    </row>
    <row r="164" ht="15.9" customHeight="1" s="1">
      <c r="A164" s="42" t="n"/>
      <c r="B164" s="68">
        <f t="array" ref="B164">INDEX('BIE Creation Sheet'!L:L,INT((ROW()-2)/25)+2)</f>
        <v/>
      </c>
      <c r="C164" s="53">
        <f>CHOOSE(MOD(ROW()-2,26)+1,
"D20","D21","D28","D29","D81","E21","E31","E51","E61","E62","E73","E83","F01","F11","F12","G12","H41","E01","I21","I41","E91","E92","E23","E81","D22","D20")</f>
        <v/>
      </c>
      <c r="D164" s="54">
        <f>CHOOSE(MOD(ROW()-2,25)+1,
"BNF","BND","BNN","BNS","BIA",
"BUK","BIR","BBE","BNL","BNL",
"BFR","BIG","BSW","BIT","BIT",
"BES","BPT","BIE","BPL1","BCZ1",
"BAT","BAT","BUK","BIG","BND")</f>
        <v/>
      </c>
      <c r="E164" s="59">
        <f>"01"</f>
        <v/>
      </c>
      <c r="F164" s="54">
        <f>CHOOSE(MOD(ROW()-2,25)+1,
"D20","D21","D28","D29","D81",
"E21","E31","E51","E61","E62",
"E73","E83","F01","F11","F12",
"G12","H41","E01","E92","E92",
"E92","E92","E21","E83","D22")</f>
        <v/>
      </c>
      <c r="G164" s="48">
        <f t="array" ref="G164">INDEX('BIE Creation Sheet'!X:X,INT((ROW()-2)/25)+2)</f>
        <v/>
      </c>
      <c r="H164" s="64">
        <f t="array" ref="H164">INDEX('BIE Creation Sheet'!R:R,INT((ROW()-2)/25)+2)</f>
        <v/>
      </c>
      <c r="I164" s="54">
        <f>CHOOSE(MOD(ROW()-2,25)+1,
"FI","DK","SV","NO","DE",
"GB","IR","BE","NL","NL",
"FR","DE","CH","IT","IT",
"ES","PT","GB","PL","CZ",
"AT","AT","GB","DE","DK")</f>
        <v/>
      </c>
      <c r="J164" s="0">
        <f>0.01</f>
        <v/>
      </c>
    </row>
    <row r="165" ht="15.9" customHeight="1" s="1">
      <c r="A165" s="42" t="n"/>
      <c r="B165" s="68">
        <f t="array" ref="B165">INDEX('BIE Creation Sheet'!L:L,INT((ROW()-2)/25)+2)</f>
        <v/>
      </c>
      <c r="C165" s="53">
        <f>CHOOSE(MOD(ROW()-2,26)+1,
"D20","D21","D28","D29","D81","E21","E31","E51","E61","E62","E73","E83","F01","F11","F12","G12","H41","E01","I21","I41","E91","E92","E23","E81","D22","D20")</f>
        <v/>
      </c>
      <c r="D165" s="54">
        <f>CHOOSE(MOD(ROW()-2,25)+1,
"BNF","BND","BNN","BNS","BIA",
"BUK","BIR","BBE","BNL","BNL",
"BFR","BIG","BSW","BIT","BIT",
"BES","BPT","BIE","BPL1","BCZ1",
"BAT","BAT","BUK","BIG","BND")</f>
        <v/>
      </c>
      <c r="E165" s="59">
        <f>"01"</f>
        <v/>
      </c>
      <c r="F165" s="54">
        <f>CHOOSE(MOD(ROW()-2,25)+1,
"D20","D21","D28","D29","D81",
"E21","E31","E51","E61","E62",
"E73","E83","F01","F11","F12",
"G12","H41","E01","E92","E92",
"E92","E92","E21","E83","D22")</f>
        <v/>
      </c>
      <c r="G165" s="48">
        <f t="array" ref="G165">INDEX('BIE Creation Sheet'!X:X,INT((ROW()-2)/25)+2)</f>
        <v/>
      </c>
      <c r="H165" s="64">
        <f t="array" ref="H165">INDEX('BIE Creation Sheet'!R:R,INT((ROW()-2)/25)+2)</f>
        <v/>
      </c>
      <c r="I165" s="54">
        <f>CHOOSE(MOD(ROW()-2,25)+1,
"FI","DK","SV","NO","DE",
"GB","IR","BE","NL","NL",
"FR","DE","CH","IT","IT",
"ES","PT","GB","PL","CZ",
"AT","AT","GB","DE","DK")</f>
        <v/>
      </c>
      <c r="J165" s="0">
        <f>0.01</f>
        <v/>
      </c>
    </row>
    <row r="166" ht="15.9" customHeight="1" s="1">
      <c r="A166" s="42" t="n"/>
      <c r="B166" s="68">
        <f t="array" ref="B166">INDEX('BIE Creation Sheet'!L:L,INT((ROW()-2)/25)+2)</f>
        <v/>
      </c>
      <c r="C166" s="53">
        <f>CHOOSE(MOD(ROW()-2,26)+1,
"D20","D21","D28","D29","D81","E21","E31","E51","E61","E62","E73","E83","F01","F11","F12","G12","H41","E01","I21","I41","E91","E92","E23","E81","D22","D20")</f>
        <v/>
      </c>
      <c r="D166" s="54">
        <f>CHOOSE(MOD(ROW()-2,25)+1,
"BNF","BND","BNN","BNS","BIA",
"BUK","BIR","BBE","BNL","BNL",
"BFR","BIG","BSW","BIT","BIT",
"BES","BPT","BIE","BPL1","BCZ1",
"BAT","BAT","BUK","BIG","BND")</f>
        <v/>
      </c>
      <c r="E166" s="59">
        <f>"01"</f>
        <v/>
      </c>
      <c r="F166" s="54">
        <f>CHOOSE(MOD(ROW()-2,25)+1,
"D20","D21","D28","D29","D81",
"E21","E31","E51","E61","E62",
"E73","E83","F01","F11","F12",
"G12","H41","E01","E92","E92",
"E92","E92","E21","E83","D22")</f>
        <v/>
      </c>
      <c r="G166" s="48">
        <f t="array" ref="G166">INDEX('BIE Creation Sheet'!X:X,INT((ROW()-2)/25)+2)</f>
        <v/>
      </c>
      <c r="H166" s="64">
        <f t="array" ref="H166">INDEX('BIE Creation Sheet'!R:R,INT((ROW()-2)/25)+2)</f>
        <v/>
      </c>
      <c r="I166" s="54">
        <f>CHOOSE(MOD(ROW()-2,25)+1,
"FI","DK","SV","NO","DE",
"GB","IR","BE","NL","NL",
"FR","DE","CH","IT","IT",
"ES","PT","GB","PL","CZ",
"AT","AT","GB","DE","DK")</f>
        <v/>
      </c>
      <c r="J166" s="0">
        <f>0.01</f>
        <v/>
      </c>
    </row>
    <row r="167" ht="15.9" customHeight="1" s="1">
      <c r="A167" s="42" t="n"/>
      <c r="B167" s="68">
        <f t="array" ref="B167">INDEX('BIE Creation Sheet'!L:L,INT((ROW()-2)/25)+2)</f>
        <v/>
      </c>
      <c r="C167" s="53">
        <f>CHOOSE(MOD(ROW()-2,26)+1,
"D20","D21","D28","D29","D81","E21","E31","E51","E61","E62","E73","E83","F01","F11","F12","G12","H41","E01","I21","I41","E91","E92","E23","E81","D22","D20")</f>
        <v/>
      </c>
      <c r="D167" s="54">
        <f>CHOOSE(MOD(ROW()-2,25)+1,
"BNF","BND","BNN","BNS","BIA",
"BUK","BIR","BBE","BNL","BNL",
"BFR","BIG","BSW","BIT","BIT",
"BES","BPT","BIE","BPL1","BCZ1",
"BAT","BAT","BUK","BIG","BND")</f>
        <v/>
      </c>
      <c r="E167" s="59">
        <f>"01"</f>
        <v/>
      </c>
      <c r="F167" s="54">
        <f>CHOOSE(MOD(ROW()-2,25)+1,
"D20","D21","D28","D29","D81",
"E21","E31","E51","E61","E62",
"E73","E83","F01","F11","F12",
"G12","H41","E01","E92","E92",
"E92","E92","E21","E83","D22")</f>
        <v/>
      </c>
      <c r="G167" s="48">
        <f t="array" ref="G167">INDEX('BIE Creation Sheet'!X:X,INT((ROW()-2)/25)+2)</f>
        <v/>
      </c>
      <c r="H167" s="64">
        <f t="array" ref="H167">INDEX('BIE Creation Sheet'!R:R,INT((ROW()-2)/25)+2)</f>
        <v/>
      </c>
      <c r="I167" s="54">
        <f>CHOOSE(MOD(ROW()-2,25)+1,
"FI","DK","SV","NO","DE",
"GB","IR","BE","NL","NL",
"FR","DE","CH","IT","IT",
"ES","PT","GB","PL","CZ",
"AT","AT","GB","DE","DK")</f>
        <v/>
      </c>
      <c r="J167" s="0">
        <f>0.01</f>
        <v/>
      </c>
    </row>
    <row r="168" ht="15.9" customHeight="1" s="1">
      <c r="A168" s="42" t="n"/>
      <c r="B168" s="68">
        <f t="array" ref="B168">INDEX('BIE Creation Sheet'!L:L,INT((ROW()-2)/25)+2)</f>
        <v/>
      </c>
      <c r="C168" s="53">
        <f>CHOOSE(MOD(ROW()-2,26)+1,
"D20","D21","D28","D29","D81","E21","E31","E51","E61","E62","E73","E83","F01","F11","F12","G12","H41","E01","I21","I41","E91","E92","E23","E81","D22","D20")</f>
        <v/>
      </c>
      <c r="D168" s="54">
        <f>CHOOSE(MOD(ROW()-2,25)+1,
"BNF","BND","BNN","BNS","BIA",
"BUK","BIR","BBE","BNL","BNL",
"BFR","BIG","BSW","BIT","BIT",
"BES","BPT","BIE","BPL1","BCZ1",
"BAT","BAT","BUK","BIG","BND")</f>
        <v/>
      </c>
      <c r="E168" s="59">
        <f>"01"</f>
        <v/>
      </c>
      <c r="F168" s="54">
        <f>CHOOSE(MOD(ROW()-2,25)+1,
"D20","D21","D28","D29","D81",
"E21","E31","E51","E61","E62",
"E73","E83","F01","F11","F12",
"G12","H41","E01","E92","E92",
"E92","E92","E21","E83","D22")</f>
        <v/>
      </c>
      <c r="G168" s="48">
        <f t="array" ref="G168">INDEX('BIE Creation Sheet'!X:X,INT((ROW()-2)/25)+2)</f>
        <v/>
      </c>
      <c r="H168" s="64">
        <f t="array" ref="H168">INDEX('BIE Creation Sheet'!R:R,INT((ROW()-2)/25)+2)</f>
        <v/>
      </c>
      <c r="I168" s="54">
        <f>CHOOSE(MOD(ROW()-2,25)+1,
"FI","DK","SV","NO","DE",
"GB","IR","BE","NL","NL",
"FR","DE","CH","IT","IT",
"ES","PT","GB","PL","CZ",
"AT","AT","GB","DE","DK")</f>
        <v/>
      </c>
      <c r="J168" s="0">
        <f>0.01</f>
        <v/>
      </c>
    </row>
    <row r="169" ht="15.9" customHeight="1" s="1">
      <c r="A169" s="42" t="n"/>
      <c r="B169" s="68">
        <f t="array" ref="B169">INDEX('BIE Creation Sheet'!L:L,INT((ROW()-2)/25)+2)</f>
        <v/>
      </c>
      <c r="C169" s="53">
        <f>CHOOSE(MOD(ROW()-2,26)+1,
"D20","D21","D28","D29","D81","E21","E31","E51","E61","E62","E73","E83","F01","F11","F12","G12","H41","E01","I21","I41","E91","E92","E23","E81","D22","D20")</f>
        <v/>
      </c>
      <c r="D169" s="54">
        <f>CHOOSE(MOD(ROW()-2,25)+1,
"BNF","BND","BNN","BNS","BIA",
"BUK","BIR","BBE","BNL","BNL",
"BFR","BIG","BSW","BIT","BIT",
"BES","BPT","BIE","BPL1","BCZ1",
"BAT","BAT","BUK","BIG","BND")</f>
        <v/>
      </c>
      <c r="E169" s="59">
        <f>"01"</f>
        <v/>
      </c>
      <c r="F169" s="54">
        <f>CHOOSE(MOD(ROW()-2,25)+1,
"D20","D21","D28","D29","D81",
"E21","E31","E51","E61","E62",
"E73","E83","F01","F11","F12",
"G12","H41","E01","E92","E92",
"E92","E92","E21","E83","D22")</f>
        <v/>
      </c>
      <c r="G169" s="48">
        <f t="array" ref="G169">INDEX('BIE Creation Sheet'!X:X,INT((ROW()-2)/25)+2)</f>
        <v/>
      </c>
      <c r="H169" s="64">
        <f t="array" ref="H169">INDEX('BIE Creation Sheet'!R:R,INT((ROW()-2)/25)+2)</f>
        <v/>
      </c>
      <c r="I169" s="54">
        <f>CHOOSE(MOD(ROW()-2,25)+1,
"FI","DK","SV","NO","DE",
"GB","IR","BE","NL","NL",
"FR","DE","CH","IT","IT",
"ES","PT","GB","PL","CZ",
"AT","AT","GB","DE","DK")</f>
        <v/>
      </c>
      <c r="J169" s="0">
        <f>0.01</f>
        <v/>
      </c>
    </row>
    <row r="170" ht="15.9" customHeight="1" s="1">
      <c r="A170" s="42" t="n"/>
      <c r="B170" s="68">
        <f t="array" ref="B170">INDEX('BIE Creation Sheet'!L:L,INT((ROW()-2)/25)+2)</f>
        <v/>
      </c>
      <c r="C170" s="53">
        <f>CHOOSE(MOD(ROW()-2,26)+1,
"D20","D21","D28","D29","D81","E21","E31","E51","E61","E62","E73","E83","F01","F11","F12","G12","H41","E01","I21","I41","E91","E92","E23","E81","D22","D20")</f>
        <v/>
      </c>
      <c r="D170" s="54">
        <f>CHOOSE(MOD(ROW()-2,25)+1,
"BNF","BND","BNN","BNS","BIA",
"BUK","BIR","BBE","BNL","BNL",
"BFR","BIG","BSW","BIT","BIT",
"BES","BPT","BIE","BPL1","BCZ1",
"BAT","BAT","BUK","BIG","BND")</f>
        <v/>
      </c>
      <c r="E170" s="59">
        <f>"01"</f>
        <v/>
      </c>
      <c r="F170" s="54">
        <f>CHOOSE(MOD(ROW()-2,25)+1,
"D20","D21","D28","D29","D81",
"E21","E31","E51","E61","E62",
"E73","E83","F01","F11","F12",
"G12","H41","E01","E92","E92",
"E92","E92","E21","E83","D22")</f>
        <v/>
      </c>
      <c r="G170" s="48">
        <f t="array" ref="G170">INDEX('BIE Creation Sheet'!X:X,INT((ROW()-2)/25)+2)</f>
        <v/>
      </c>
      <c r="H170" s="64">
        <f t="array" ref="H170">INDEX('BIE Creation Sheet'!R:R,INT((ROW()-2)/25)+2)</f>
        <v/>
      </c>
      <c r="I170" s="54">
        <f>CHOOSE(MOD(ROW()-2,25)+1,
"FI","DK","SV","NO","DE",
"GB","IR","BE","NL","NL",
"FR","DE","CH","IT","IT",
"ES","PT","GB","PL","CZ",
"AT","AT","GB","DE","DK")</f>
        <v/>
      </c>
      <c r="J170" s="0">
        <f>0.01</f>
        <v/>
      </c>
    </row>
    <row r="171" ht="15.9" customHeight="1" s="1">
      <c r="A171" s="42" t="n"/>
      <c r="B171" s="68">
        <f t="array" ref="B171">INDEX('BIE Creation Sheet'!L:L,INT((ROW()-2)/25)+2)</f>
        <v/>
      </c>
      <c r="C171" s="53">
        <f>CHOOSE(MOD(ROW()-2,26)+1,
"D20","D21","D28","D29","D81","E21","E31","E51","E61","E62","E73","E83","F01","F11","F12","G12","H41","E01","I21","I41","E91","E92","E23","E81","D22","D20")</f>
        <v/>
      </c>
      <c r="D171" s="54">
        <f>CHOOSE(MOD(ROW()-2,25)+1,
"BNF","BND","BNN","BNS","BIA",
"BUK","BIR","BBE","BNL","BNL",
"BFR","BIG","BSW","BIT","BIT",
"BES","BPT","BIE","BPL1","BCZ1",
"BAT","BAT","BUK","BIG","BND")</f>
        <v/>
      </c>
      <c r="E171" s="59">
        <f>"01"</f>
        <v/>
      </c>
      <c r="F171" s="54">
        <f>CHOOSE(MOD(ROW()-2,25)+1,
"D20","D21","D28","D29","D81",
"E21","E31","E51","E61","E62",
"E73","E83","F01","F11","F12",
"G12","H41","E01","E92","E92",
"E92","E92","E21","E83","D22")</f>
        <v/>
      </c>
      <c r="G171" s="48">
        <f t="array" ref="G171">INDEX('BIE Creation Sheet'!X:X,INT((ROW()-2)/25)+2)</f>
        <v/>
      </c>
      <c r="H171" s="64">
        <f t="array" ref="H171">INDEX('BIE Creation Sheet'!R:R,INT((ROW()-2)/25)+2)</f>
        <v/>
      </c>
      <c r="I171" s="54">
        <f>CHOOSE(MOD(ROW()-2,25)+1,
"FI","DK","SV","NO","DE",
"GB","IR","BE","NL","NL",
"FR","DE","CH","IT","IT",
"ES","PT","GB","PL","CZ",
"AT","AT","GB","DE","DK")</f>
        <v/>
      </c>
      <c r="J171" s="0">
        <f>0.01</f>
        <v/>
      </c>
    </row>
    <row r="172" ht="15.9" customHeight="1" s="1">
      <c r="A172" s="42" t="n"/>
      <c r="B172" s="68">
        <f t="array" ref="B172">INDEX('BIE Creation Sheet'!L:L,INT((ROW()-2)/25)+2)</f>
        <v/>
      </c>
      <c r="C172" s="53">
        <f>CHOOSE(MOD(ROW()-2,26)+1,
"D20","D21","D28","D29","D81","E21","E31","E51","E61","E62","E73","E83","F01","F11","F12","G12","H41","E01","I21","I41","E91","E92","E23","E81","D22","D20")</f>
        <v/>
      </c>
      <c r="D172" s="54">
        <f>CHOOSE(MOD(ROW()-2,25)+1,
"BNF","BND","BNN","BNS","BIA",
"BUK","BIR","BBE","BNL","BNL",
"BFR","BIG","BSW","BIT","BIT",
"BES","BPT","BIE","BPL1","BCZ1",
"BAT","BAT","BUK","BIG","BND")</f>
        <v/>
      </c>
      <c r="E172" s="59">
        <f>"01"</f>
        <v/>
      </c>
      <c r="F172" s="54">
        <f>CHOOSE(MOD(ROW()-2,25)+1,
"D20","D21","D28","D29","D81",
"E21","E31","E51","E61","E62",
"E73","E83","F01","F11","F12",
"G12","H41","E01","E92","E92",
"E92","E92","E21","E83","D22")</f>
        <v/>
      </c>
      <c r="G172" s="48">
        <f t="array" ref="G172">INDEX('BIE Creation Sheet'!X:X,INT((ROW()-2)/25)+2)</f>
        <v/>
      </c>
      <c r="H172" s="64">
        <f t="array" ref="H172">INDEX('BIE Creation Sheet'!R:R,INT((ROW()-2)/25)+2)</f>
        <v/>
      </c>
      <c r="I172" s="54">
        <f>CHOOSE(MOD(ROW()-2,25)+1,
"FI","DK","SV","NO","DE",
"GB","IR","BE","NL","NL",
"FR","DE","CH","IT","IT",
"ES","PT","GB","PL","CZ",
"AT","AT","GB","DE","DK")</f>
        <v/>
      </c>
      <c r="J172" s="0">
        <f>0.01</f>
        <v/>
      </c>
    </row>
    <row r="173" ht="15.9" customHeight="1" s="1">
      <c r="A173" s="42" t="n"/>
      <c r="B173" s="68">
        <f t="array" ref="B173">INDEX('BIE Creation Sheet'!L:L,INT((ROW()-2)/25)+2)</f>
        <v/>
      </c>
      <c r="C173" s="53">
        <f>CHOOSE(MOD(ROW()-2,26)+1,
"D20","D21","D28","D29","D81","E21","E31","E51","E61","E62","E73","E83","F01","F11","F12","G12","H41","E01","I21","I41","E91","E92","E23","E81","D22","D20")</f>
        <v/>
      </c>
      <c r="D173" s="54">
        <f>CHOOSE(MOD(ROW()-2,25)+1,
"BNF","BND","BNN","BNS","BIA",
"BUK","BIR","BBE","BNL","BNL",
"BFR","BIG","BSW","BIT","BIT",
"BES","BPT","BIE","BPL1","BCZ1",
"BAT","BAT","BUK","BIG","BND")</f>
        <v/>
      </c>
      <c r="E173" s="59">
        <f>"01"</f>
        <v/>
      </c>
      <c r="F173" s="54">
        <f>CHOOSE(MOD(ROW()-2,25)+1,
"D20","D21","D28","D29","D81",
"E21","E31","E51","E61","E62",
"E73","E83","F01","F11","F12",
"G12","H41","E01","E92","E92",
"E92","E92","E21","E83","D22")</f>
        <v/>
      </c>
      <c r="G173" s="48">
        <f t="array" ref="G173">INDEX('BIE Creation Sheet'!X:X,INT((ROW()-2)/25)+2)</f>
        <v/>
      </c>
      <c r="H173" s="64">
        <f t="array" ref="H173">INDEX('BIE Creation Sheet'!R:R,INT((ROW()-2)/25)+2)</f>
        <v/>
      </c>
      <c r="I173" s="54">
        <f>CHOOSE(MOD(ROW()-2,25)+1,
"FI","DK","SV","NO","DE",
"GB","IR","BE","NL","NL",
"FR","DE","CH","IT","IT",
"ES","PT","GB","PL","CZ",
"AT","AT","GB","DE","DK")</f>
        <v/>
      </c>
      <c r="J173" s="0">
        <f>0.01</f>
        <v/>
      </c>
    </row>
    <row r="174" ht="15.9" customHeight="1" s="1">
      <c r="A174" s="42" t="n"/>
      <c r="B174" s="68">
        <f t="array" ref="B174">INDEX('BIE Creation Sheet'!L:L,INT((ROW()-2)/25)+2)</f>
        <v/>
      </c>
      <c r="C174" s="53">
        <f>CHOOSE(MOD(ROW()-2,26)+1,
"D20","D21","D28","D29","D81","E21","E31","E51","E61","E62","E73","E83","F01","F11","F12","G12","H41","E01","I21","I41","E91","E92","E23","E81","D22","D20")</f>
        <v/>
      </c>
      <c r="D174" s="54">
        <f>CHOOSE(MOD(ROW()-2,25)+1,
"BNF","BND","BNN","BNS","BIA",
"BUK","BIR","BBE","BNL","BNL",
"BFR","BIG","BSW","BIT","BIT",
"BES","BPT","BIE","BPL1","BCZ1",
"BAT","BAT","BUK","BIG","BND")</f>
        <v/>
      </c>
      <c r="E174" s="59">
        <f>"01"</f>
        <v/>
      </c>
      <c r="F174" s="54">
        <f>CHOOSE(MOD(ROW()-2,25)+1,
"D20","D21","D28","D29","D81",
"E21","E31","E51","E61","E62",
"E73","E83","F01","F11","F12",
"G12","H41","E01","E92","E92",
"E92","E92","E21","E83","D22")</f>
        <v/>
      </c>
      <c r="G174" s="48">
        <f t="array" ref="G174">INDEX('BIE Creation Sheet'!X:X,INT((ROW()-2)/25)+2)</f>
        <v/>
      </c>
      <c r="H174" s="64">
        <f t="array" ref="H174">INDEX('BIE Creation Sheet'!R:R,INT((ROW()-2)/25)+2)</f>
        <v/>
      </c>
      <c r="I174" s="54">
        <f>CHOOSE(MOD(ROW()-2,25)+1,
"FI","DK","SV","NO","DE",
"GB","IR","BE","NL","NL",
"FR","DE","CH","IT","IT",
"ES","PT","GB","PL","CZ",
"AT","AT","GB","DE","DK")</f>
        <v/>
      </c>
      <c r="J174" s="0">
        <f>0.01</f>
        <v/>
      </c>
    </row>
    <row r="175" ht="15.9" customHeight="1" s="1">
      <c r="A175" s="42" t="n"/>
      <c r="B175" s="68">
        <f t="array" ref="B175">INDEX('BIE Creation Sheet'!L:L,INT((ROW()-2)/25)+2)</f>
        <v/>
      </c>
      <c r="C175" s="53">
        <f>CHOOSE(MOD(ROW()-2,26)+1,
"D20","D21","D28","D29","D81","E21","E31","E51","E61","E62","E73","E83","F01","F11","F12","G12","H41","E01","I21","I41","E91","E92","E23","E81","D22","D20")</f>
        <v/>
      </c>
      <c r="D175" s="54">
        <f>CHOOSE(MOD(ROW()-2,25)+1,
"BNF","BND","BNN","BNS","BIA",
"BUK","BIR","BBE","BNL","BNL",
"BFR","BIG","BSW","BIT","BIT",
"BES","BPT","BIE","BPL1","BCZ1",
"BAT","BAT","BUK","BIG","BND")</f>
        <v/>
      </c>
      <c r="E175" s="59">
        <f>"01"</f>
        <v/>
      </c>
      <c r="F175" s="54">
        <f>CHOOSE(MOD(ROW()-2,25)+1,
"D20","D21","D28","D29","D81",
"E21","E31","E51","E61","E62",
"E73","E83","F01","F11","F12",
"G12","H41","E01","E92","E92",
"E92","E92","E21","E83","D22")</f>
        <v/>
      </c>
      <c r="G175" s="48">
        <f t="array" ref="G175">INDEX('BIE Creation Sheet'!X:X,INT((ROW()-2)/25)+2)</f>
        <v/>
      </c>
      <c r="H175" s="64">
        <f t="array" ref="H175">INDEX('BIE Creation Sheet'!R:R,INT((ROW()-2)/25)+2)</f>
        <v/>
      </c>
      <c r="I175" s="54">
        <f>CHOOSE(MOD(ROW()-2,25)+1,
"FI","DK","SV","NO","DE",
"GB","IR","BE","NL","NL",
"FR","DE","CH","IT","IT",
"ES","PT","GB","PL","CZ",
"AT","AT","GB","DE","DK")</f>
        <v/>
      </c>
      <c r="J175" s="0">
        <f>0.01</f>
        <v/>
      </c>
    </row>
    <row r="176" ht="15.9" customHeight="1" s="1">
      <c r="A176" s="42" t="n"/>
      <c r="B176" s="68">
        <f t="array" ref="B176">INDEX('BIE Creation Sheet'!L:L,INT((ROW()-2)/25)+2)</f>
        <v/>
      </c>
      <c r="C176" s="53">
        <f>CHOOSE(MOD(ROW()-2,26)+1,
"D20","D21","D28","D29","D81","E21","E31","E51","E61","E62","E73","E83","F01","F11","F12","G12","H41","E01","I21","I41","E91","E92","E23","E81","D22","D20")</f>
        <v/>
      </c>
      <c r="D176" s="54">
        <f>CHOOSE(MOD(ROW()-2,25)+1,
"BNF","BND","BNN","BNS","BIA",
"BUK","BIR","BBE","BNL","BNL",
"BFR","BIG","BSW","BIT","BIT",
"BES","BPT","BIE","BPL1","BCZ1",
"BAT","BAT","BUK","BIG","BND")</f>
        <v/>
      </c>
      <c r="E176" s="59">
        <f>"01"</f>
        <v/>
      </c>
      <c r="F176" s="54">
        <f>CHOOSE(MOD(ROW()-2,25)+1,
"D20","D21","D28","D29","D81",
"E21","E31","E51","E61","E62",
"E73","E83","F01","F11","F12",
"G12","H41","E01","E92","E92",
"E92","E92","E21","E83","D22")</f>
        <v/>
      </c>
      <c r="G176" s="48">
        <f t="array" ref="G176">INDEX('BIE Creation Sheet'!X:X,INT((ROW()-2)/25)+2)</f>
        <v/>
      </c>
      <c r="H176" s="64">
        <f t="array" ref="H176">INDEX('BIE Creation Sheet'!R:R,INT((ROW()-2)/25)+2)</f>
        <v/>
      </c>
      <c r="I176" s="54">
        <f>CHOOSE(MOD(ROW()-2,25)+1,
"FI","DK","SV","NO","DE",
"GB","IR","BE","NL","NL",
"FR","DE","CH","IT","IT",
"ES","PT","GB","PL","CZ",
"AT","AT","GB","DE","DK")</f>
        <v/>
      </c>
      <c r="J176" s="0">
        <f>0.01</f>
        <v/>
      </c>
    </row>
    <row r="177" ht="15.9" customHeight="1" s="1">
      <c r="A177" s="42" t="n"/>
      <c r="B177" s="68">
        <f t="array" ref="B177">INDEX('BIE Creation Sheet'!L:L,INT((ROW()-2)/25)+2)</f>
        <v/>
      </c>
      <c r="C177" s="53">
        <f>CHOOSE(MOD(ROW()-2,26)+1,
"D20","D21","D28","D29","D81","E21","E31","E51","E61","E62","E73","E83","F01","F11","F12","G12","H41","E01","I21","I41","E91","E92","E23","E81","D22","D20")</f>
        <v/>
      </c>
      <c r="D177" s="54">
        <f>CHOOSE(MOD(ROW()-2,25)+1,
"BNF","BND","BNN","BNS","BIA",
"BUK","BIR","BBE","BNL","BNL",
"BFR","BIG","BSW","BIT","BIT",
"BES","BPT","BIE","BPL1","BCZ1",
"BAT","BAT","BUK","BIG","BND")</f>
        <v/>
      </c>
      <c r="E177" s="59">
        <f>"01"</f>
        <v/>
      </c>
      <c r="F177" s="54">
        <f>CHOOSE(MOD(ROW()-2,25)+1,
"D20","D21","D28","D29","D81",
"E21","E31","E51","E61","E62",
"E73","E83","F01","F11","F12",
"G12","H41","E01","E92","E92",
"E92","E92","E21","E83","D22")</f>
        <v/>
      </c>
      <c r="G177" s="48">
        <f t="array" ref="G177">INDEX('BIE Creation Sheet'!X:X,INT((ROW()-2)/25)+2)</f>
        <v/>
      </c>
      <c r="H177" s="64">
        <f t="array" ref="H177">INDEX('BIE Creation Sheet'!R:R,INT((ROW()-2)/25)+2)</f>
        <v/>
      </c>
      <c r="I177" s="54">
        <f>CHOOSE(MOD(ROW()-2,25)+1,
"FI","DK","SV","NO","DE",
"GB","IR","BE","NL","NL",
"FR","DE","CH","IT","IT",
"ES","PT","GB","PL","CZ",
"AT","AT","GB","DE","DK")</f>
        <v/>
      </c>
      <c r="J177" s="0">
        <f>0.01</f>
        <v/>
      </c>
    </row>
    <row r="178" ht="15.9" customHeight="1" s="1">
      <c r="A178" s="42" t="n"/>
      <c r="B178" s="68">
        <f t="array" ref="B178">INDEX('BIE Creation Sheet'!L:L,INT((ROW()-2)/25)+2)</f>
        <v/>
      </c>
      <c r="C178" s="53">
        <f>CHOOSE(MOD(ROW()-2,26)+1,
"D20","D21","D28","D29","D81","E21","E31","E51","E61","E62","E73","E83","F01","F11","F12","G12","H41","E01","I21","I41","E91","E92","E23","E81","D22","D20")</f>
        <v/>
      </c>
      <c r="D178" s="54">
        <f>CHOOSE(MOD(ROW()-2,25)+1,
"BNF","BND","BNN","BNS","BIA",
"BUK","BIR","BBE","BNL","BNL",
"BFR","BIG","BSW","BIT","BIT",
"BES","BPT","BIE","BPL1","BCZ1",
"BAT","BAT","BUK","BIG","BND")</f>
        <v/>
      </c>
      <c r="E178" s="59">
        <f>"01"</f>
        <v/>
      </c>
      <c r="F178" s="54">
        <f>CHOOSE(MOD(ROW()-2,25)+1,
"D20","D21","D28","D29","D81",
"E21","E31","E51","E61","E62",
"E73","E83","F01","F11","F12",
"G12","H41","E01","E92","E92",
"E92","E92","E21","E83","D22")</f>
        <v/>
      </c>
      <c r="G178" s="48">
        <f t="array" ref="G178">INDEX('BIE Creation Sheet'!X:X,INT((ROW()-2)/25)+2)</f>
        <v/>
      </c>
      <c r="H178" s="64">
        <f t="array" ref="H178">INDEX('BIE Creation Sheet'!R:R,INT((ROW()-2)/25)+2)</f>
        <v/>
      </c>
      <c r="I178" s="54">
        <f>CHOOSE(MOD(ROW()-2,25)+1,
"FI","DK","SV","NO","DE",
"GB","IR","BE","NL","NL",
"FR","DE","CH","IT","IT",
"ES","PT","GB","PL","CZ",
"AT","AT","GB","DE","DK")</f>
        <v/>
      </c>
      <c r="J178" s="0">
        <f>0.01</f>
        <v/>
      </c>
    </row>
    <row r="179">
      <c r="A179" s="42" t="n"/>
      <c r="B179" s="69" t="n"/>
      <c r="C179" s="54" t="n"/>
      <c r="D179" s="54" t="n"/>
      <c r="E179" s="54" t="n"/>
      <c r="F179" s="54" t="n"/>
      <c r="G179" s="48" t="n"/>
      <c r="H179" s="65" t="n"/>
      <c r="I179" s="54" t="n"/>
    </row>
    <row r="180">
      <c r="A180" s="42" t="n"/>
      <c r="B180" s="69" t="n"/>
      <c r="C180" s="54" t="n"/>
      <c r="D180" s="54" t="n"/>
      <c r="E180" s="54" t="n"/>
      <c r="F180" s="54" t="n"/>
      <c r="G180" s="48" t="n"/>
      <c r="H180" s="65" t="n"/>
      <c r="I180" s="54" t="n"/>
    </row>
    <row r="181">
      <c r="A181" s="42" t="n"/>
      <c r="B181" s="69" t="n"/>
      <c r="C181" s="54" t="n"/>
      <c r="D181" s="54" t="n"/>
      <c r="E181" s="54" t="n"/>
      <c r="F181" s="54" t="n"/>
      <c r="G181" s="48" t="n"/>
      <c r="H181" s="65" t="n"/>
      <c r="I181" s="54" t="n"/>
    </row>
    <row r="182">
      <c r="A182" s="42" t="n"/>
      <c r="B182" s="69" t="n"/>
      <c r="C182" s="54" t="n"/>
      <c r="D182" s="54" t="n"/>
      <c r="E182" s="54" t="n"/>
      <c r="F182" s="54" t="n"/>
      <c r="G182" s="48" t="n"/>
      <c r="H182" s="65" t="n"/>
      <c r="I182" s="54" t="n"/>
    </row>
    <row r="183">
      <c r="A183" s="42" t="n"/>
      <c r="B183" s="69" t="n"/>
      <c r="C183" s="54" t="n"/>
      <c r="D183" s="54" t="n"/>
      <c r="E183" s="54" t="n"/>
      <c r="F183" s="54" t="n"/>
      <c r="G183" s="48" t="n"/>
      <c r="H183" s="65" t="n"/>
      <c r="I183" s="54" t="n"/>
    </row>
    <row r="184">
      <c r="A184" s="42" t="n"/>
      <c r="B184" s="69" t="n"/>
      <c r="C184" s="54" t="n"/>
      <c r="D184" s="54" t="n"/>
      <c r="E184" s="54" t="n"/>
      <c r="F184" s="54" t="n"/>
      <c r="G184" s="48" t="n"/>
      <c r="H184" s="65" t="n"/>
      <c r="I184" s="54" t="n"/>
    </row>
    <row r="185">
      <c r="A185" s="42" t="n"/>
      <c r="B185" s="69" t="n"/>
      <c r="C185" s="54" t="n"/>
      <c r="D185" s="54" t="n"/>
      <c r="E185" s="54" t="n"/>
      <c r="F185" s="54" t="n"/>
      <c r="G185" s="48" t="n"/>
      <c r="H185" s="65" t="n"/>
      <c r="I185" s="54" t="n"/>
    </row>
    <row r="186">
      <c r="A186" s="42" t="n"/>
      <c r="B186" s="69" t="n"/>
      <c r="C186" s="54" t="n"/>
      <c r="D186" s="54" t="n"/>
      <c r="E186" s="54" t="n"/>
      <c r="F186" s="54" t="n"/>
      <c r="G186" s="48" t="n"/>
      <c r="H186" s="65" t="n"/>
      <c r="I186" s="54" t="n"/>
    </row>
    <row r="187">
      <c r="A187" s="42" t="n"/>
      <c r="B187" s="69" t="n"/>
      <c r="C187" s="54" t="n"/>
      <c r="D187" s="54" t="n"/>
      <c r="E187" s="54" t="n"/>
      <c r="F187" s="54" t="n"/>
      <c r="G187" s="48" t="n"/>
      <c r="H187" s="65" t="n"/>
      <c r="I187" s="54" t="n"/>
    </row>
    <row r="188">
      <c r="A188" s="42" t="n"/>
      <c r="B188" s="69" t="n"/>
      <c r="C188" s="54" t="n"/>
      <c r="D188" s="54" t="n"/>
      <c r="E188" s="54" t="n"/>
      <c r="F188" s="54" t="n"/>
      <c r="G188" s="48" t="n"/>
      <c r="H188" s="65" t="n"/>
      <c r="I188" s="54" t="n"/>
    </row>
    <row r="189">
      <c r="A189" s="42" t="n"/>
      <c r="B189" s="69" t="n"/>
      <c r="C189" s="54" t="n"/>
      <c r="D189" s="54" t="n"/>
      <c r="E189" s="54" t="n"/>
      <c r="F189" s="54" t="n"/>
      <c r="G189" s="48" t="n"/>
      <c r="H189" s="65" t="n"/>
      <c r="I189" s="54" t="n"/>
    </row>
    <row r="190">
      <c r="A190" s="42" t="n"/>
      <c r="B190" s="69" t="n"/>
      <c r="C190" s="54" t="n"/>
      <c r="D190" s="54" t="n"/>
      <c r="E190" s="54" t="n"/>
      <c r="F190" s="54" t="n"/>
      <c r="G190" s="48" t="n"/>
      <c r="H190" s="65" t="n"/>
      <c r="I190" s="54" t="n"/>
    </row>
    <row r="191">
      <c r="A191" s="42" t="n"/>
      <c r="B191" s="69" t="n"/>
      <c r="C191" s="54" t="n"/>
      <c r="D191" s="54" t="n"/>
      <c r="E191" s="54" t="n"/>
      <c r="F191" s="54" t="n"/>
      <c r="G191" s="48" t="n"/>
      <c r="H191" s="65" t="n"/>
      <c r="I191" s="54" t="n"/>
    </row>
    <row r="192">
      <c r="A192" s="42" t="n"/>
      <c r="B192" s="69" t="n"/>
      <c r="C192" s="54" t="n"/>
      <c r="D192" s="54" t="n"/>
      <c r="E192" s="54" t="n"/>
      <c r="F192" s="54" t="n"/>
      <c r="G192" s="48" t="n"/>
      <c r="H192" s="65" t="n"/>
      <c r="I192" s="54" t="n"/>
    </row>
    <row r="193">
      <c r="A193" s="42" t="n"/>
      <c r="B193" s="69" t="n"/>
      <c r="C193" s="54" t="n"/>
      <c r="D193" s="54" t="n"/>
      <c r="E193" s="54" t="n"/>
      <c r="F193" s="54" t="n"/>
      <c r="G193" s="48" t="n"/>
      <c r="H193" s="65" t="n"/>
      <c r="I193" s="54" t="n"/>
    </row>
    <row r="194">
      <c r="A194" s="42" t="n"/>
      <c r="B194" s="69" t="n"/>
      <c r="C194" s="54" t="n"/>
      <c r="D194" s="54" t="n"/>
      <c r="E194" s="54" t="n"/>
      <c r="F194" s="54" t="n"/>
      <c r="G194" s="48" t="n"/>
      <c r="H194" s="65" t="n"/>
      <c r="I194" s="54" t="n"/>
    </row>
    <row r="195">
      <c r="A195" s="42" t="n"/>
      <c r="B195" s="69" t="n"/>
      <c r="C195" s="54" t="n"/>
      <c r="D195" s="54" t="n"/>
      <c r="E195" s="54" t="n"/>
      <c r="F195" s="54" t="n"/>
      <c r="G195" s="48" t="n"/>
      <c r="H195" s="65" t="n"/>
      <c r="I195" s="54" t="n"/>
    </row>
    <row r="196">
      <c r="A196" s="42" t="n"/>
      <c r="B196" s="69" t="n"/>
      <c r="C196" s="54" t="n"/>
      <c r="D196" s="54" t="n"/>
      <c r="E196" s="54" t="n"/>
      <c r="F196" s="54" t="n"/>
      <c r="G196" s="48" t="n"/>
      <c r="H196" s="65" t="n"/>
      <c r="I196" s="54" t="n"/>
    </row>
    <row r="197">
      <c r="A197" s="42" t="n"/>
      <c r="B197" s="69" t="n"/>
      <c r="C197" s="54" t="n"/>
      <c r="D197" s="54" t="n"/>
      <c r="E197" s="54" t="n"/>
      <c r="F197" s="54" t="n"/>
      <c r="G197" s="48" t="n"/>
      <c r="H197" s="65" t="n"/>
      <c r="I197" s="54" t="n"/>
    </row>
    <row r="198">
      <c r="A198" s="42" t="n"/>
      <c r="B198" s="69" t="n"/>
      <c r="C198" s="54" t="n"/>
      <c r="D198" s="54" t="n"/>
      <c r="E198" s="54" t="n"/>
      <c r="F198" s="54" t="n"/>
      <c r="G198" s="48" t="n"/>
      <c r="H198" s="65" t="n"/>
      <c r="I198" s="54" t="n"/>
    </row>
    <row r="199">
      <c r="A199" s="42" t="n"/>
      <c r="B199" s="69" t="n"/>
      <c r="C199" s="54" t="n"/>
      <c r="D199" s="54" t="n"/>
      <c r="E199" s="54" t="n"/>
      <c r="F199" s="54" t="n"/>
      <c r="G199" s="48" t="n"/>
      <c r="H199" s="65" t="n"/>
      <c r="I199" s="54" t="n"/>
    </row>
    <row r="200">
      <c r="A200" s="42" t="n"/>
      <c r="B200" s="69" t="n"/>
      <c r="C200" s="54" t="n"/>
      <c r="D200" s="54" t="n"/>
      <c r="E200" s="54" t="n"/>
      <c r="F200" s="54" t="n"/>
      <c r="G200" s="48" t="n"/>
      <c r="H200" s="65" t="n"/>
      <c r="I200" s="54" t="n"/>
    </row>
    <row r="201">
      <c r="A201" s="42" t="n"/>
      <c r="B201" s="69" t="n"/>
      <c r="C201" s="54" t="n"/>
      <c r="D201" s="54" t="n"/>
      <c r="E201" s="54" t="n"/>
      <c r="F201" s="54" t="n"/>
      <c r="G201" s="48" t="n"/>
      <c r="H201" s="65" t="n"/>
      <c r="I201" s="54" t="n"/>
    </row>
    <row r="202">
      <c r="A202" s="42" t="n"/>
      <c r="B202" s="69" t="n"/>
      <c r="C202" s="53" t="n"/>
      <c r="D202" s="54" t="n"/>
      <c r="E202" s="54" t="n"/>
      <c r="F202" s="54" t="n"/>
      <c r="G202" s="48" t="n"/>
      <c r="H202" s="65" t="n"/>
      <c r="I202" s="54" t="n"/>
    </row>
    <row r="203">
      <c r="A203" s="42" t="n"/>
      <c r="B203" s="69" t="n"/>
      <c r="C203" s="54" t="n"/>
      <c r="D203" s="54" t="n"/>
      <c r="E203" s="54" t="n"/>
      <c r="F203" s="54" t="n"/>
      <c r="G203" s="48" t="n"/>
      <c r="H203" s="65" t="n"/>
      <c r="I203" s="54" t="n"/>
    </row>
    <row r="204">
      <c r="A204" s="42" t="n"/>
      <c r="B204" s="69" t="n"/>
      <c r="C204" s="54" t="n"/>
      <c r="D204" s="54" t="n"/>
      <c r="E204" s="54" t="n"/>
      <c r="F204" s="54" t="n"/>
      <c r="G204" s="48" t="n"/>
      <c r="H204" s="65" t="n"/>
      <c r="I204" s="54" t="n"/>
    </row>
    <row r="205">
      <c r="A205" s="42" t="n"/>
      <c r="B205" s="69" t="n"/>
      <c r="C205" s="54" t="n"/>
      <c r="D205" s="54" t="n"/>
      <c r="E205" s="54" t="n"/>
      <c r="F205" s="54" t="n"/>
      <c r="G205" s="48" t="n"/>
      <c r="H205" s="65" t="n"/>
      <c r="I205" s="54" t="n"/>
    </row>
    <row r="206">
      <c r="A206" s="42" t="n"/>
      <c r="B206" s="69" t="n"/>
      <c r="C206" s="54" t="n"/>
      <c r="D206" s="54" t="n"/>
      <c r="E206" s="54" t="n"/>
      <c r="F206" s="54" t="n"/>
      <c r="G206" s="48" t="n"/>
      <c r="H206" s="65" t="n"/>
      <c r="I206" s="54" t="n"/>
    </row>
    <row r="207">
      <c r="A207" s="42" t="n"/>
      <c r="B207" s="69" t="n"/>
      <c r="C207" s="54" t="n"/>
      <c r="D207" s="54" t="n"/>
      <c r="E207" s="54" t="n"/>
      <c r="F207" s="54" t="n"/>
      <c r="G207" s="48" t="n"/>
      <c r="H207" s="65" t="n"/>
      <c r="I207" s="54" t="n"/>
    </row>
    <row r="208">
      <c r="A208" s="42" t="n"/>
      <c r="B208" s="69" t="n"/>
      <c r="C208" s="54" t="n"/>
      <c r="D208" s="54" t="n"/>
      <c r="E208" s="54" t="n"/>
      <c r="F208" s="54" t="n"/>
      <c r="G208" s="48" t="n"/>
      <c r="H208" s="65" t="n"/>
      <c r="I208" s="54" t="n"/>
    </row>
    <row r="209">
      <c r="A209" s="42" t="n"/>
      <c r="B209" s="69" t="n"/>
      <c r="C209" s="54" t="n"/>
      <c r="D209" s="54" t="n"/>
      <c r="E209" s="54" t="n"/>
      <c r="F209" s="54" t="n"/>
      <c r="G209" s="48" t="n"/>
      <c r="H209" s="65" t="n"/>
      <c r="I209" s="54" t="n"/>
    </row>
    <row r="210">
      <c r="A210" s="42" t="n"/>
      <c r="B210" s="69" t="n"/>
      <c r="C210" s="54" t="n"/>
      <c r="D210" s="54" t="n"/>
      <c r="E210" s="54" t="n"/>
      <c r="F210" s="54" t="n"/>
      <c r="G210" s="48" t="n"/>
      <c r="H210" s="65" t="n"/>
      <c r="I210" s="54" t="n"/>
    </row>
    <row r="211">
      <c r="A211" s="42" t="n"/>
      <c r="B211" s="69" t="n"/>
      <c r="C211" s="54" t="n"/>
      <c r="D211" s="54" t="n"/>
      <c r="E211" s="54" t="n"/>
      <c r="F211" s="54" t="n"/>
      <c r="G211" s="48" t="n"/>
      <c r="H211" s="65" t="n"/>
      <c r="I211" s="54" t="n"/>
    </row>
    <row r="212">
      <c r="A212" s="42" t="n"/>
      <c r="B212" s="69" t="n"/>
      <c r="C212" s="54" t="n"/>
      <c r="D212" s="54" t="n"/>
      <c r="E212" s="54" t="n"/>
      <c r="F212" s="54" t="n"/>
      <c r="G212" s="48" t="n"/>
      <c r="H212" s="65" t="n"/>
      <c r="I212" s="54" t="n"/>
    </row>
    <row r="213">
      <c r="A213" s="42" t="n"/>
      <c r="B213" s="69" t="n"/>
      <c r="C213" s="54" t="n"/>
      <c r="D213" s="54" t="n"/>
      <c r="E213" s="54" t="n"/>
      <c r="F213" s="54" t="n"/>
      <c r="G213" s="48" t="n"/>
      <c r="H213" s="65" t="n"/>
      <c r="I213" s="54" t="n"/>
    </row>
    <row r="214">
      <c r="A214" s="42" t="n"/>
      <c r="B214" s="69" t="n"/>
      <c r="C214" s="54" t="n"/>
      <c r="D214" s="54" t="n"/>
      <c r="E214" s="54" t="n"/>
      <c r="F214" s="54" t="n"/>
      <c r="G214" s="48" t="n"/>
      <c r="H214" s="65" t="n"/>
      <c r="I214" s="54" t="n"/>
    </row>
    <row r="215">
      <c r="A215" s="42" t="n"/>
      <c r="B215" s="69" t="n"/>
      <c r="C215" s="54" t="n"/>
      <c r="D215" s="54" t="n"/>
      <c r="E215" s="54" t="n"/>
      <c r="F215" s="54" t="n"/>
      <c r="G215" s="48" t="n"/>
      <c r="H215" s="65" t="n"/>
      <c r="I215" s="54" t="n"/>
    </row>
    <row r="216">
      <c r="A216" s="42" t="n"/>
      <c r="B216" s="69" t="n"/>
      <c r="C216" s="54" t="n"/>
      <c r="D216" s="54" t="n"/>
      <c r="E216" s="54" t="n"/>
      <c r="F216" s="54" t="n"/>
      <c r="G216" s="48" t="n"/>
      <c r="H216" s="65" t="n"/>
      <c r="I216" s="54" t="n"/>
    </row>
    <row r="217">
      <c r="A217" s="42" t="n"/>
      <c r="B217" s="69" t="n"/>
      <c r="C217" s="54" t="n"/>
      <c r="D217" s="54" t="n"/>
      <c r="E217" s="54" t="n"/>
      <c r="F217" s="54" t="n"/>
      <c r="G217" s="48" t="n"/>
      <c r="H217" s="65" t="n"/>
      <c r="I217" s="54" t="n"/>
    </row>
    <row r="218">
      <c r="A218" s="42" t="n"/>
      <c r="B218" s="69" t="n"/>
      <c r="C218" s="54" t="n"/>
      <c r="D218" s="54" t="n"/>
      <c r="E218" s="54" t="n"/>
      <c r="F218" s="54" t="n"/>
      <c r="G218" s="48" t="n"/>
      <c r="H218" s="65" t="n"/>
      <c r="I218" s="54" t="n"/>
    </row>
    <row r="219">
      <c r="A219" s="42" t="n"/>
      <c r="B219" s="69" t="n"/>
      <c r="C219" s="54" t="n"/>
      <c r="D219" s="54" t="n"/>
      <c r="E219" s="54" t="n"/>
      <c r="F219" s="54" t="n"/>
      <c r="G219" s="48" t="n"/>
      <c r="H219" s="65" t="n"/>
      <c r="I219" s="54" t="n"/>
    </row>
    <row r="220">
      <c r="A220" s="42" t="n"/>
      <c r="B220" s="69" t="n"/>
      <c r="C220" s="54" t="n"/>
      <c r="D220" s="54" t="n"/>
      <c r="E220" s="54" t="n"/>
      <c r="F220" s="54" t="n"/>
      <c r="G220" s="48" t="n"/>
      <c r="H220" s="65" t="n"/>
      <c r="I220" s="54" t="n"/>
    </row>
    <row r="221">
      <c r="A221" s="42" t="n"/>
      <c r="B221" s="69" t="n"/>
      <c r="C221" s="54" t="n"/>
      <c r="D221" s="54" t="n"/>
      <c r="E221" s="54" t="n"/>
      <c r="F221" s="54" t="n"/>
      <c r="G221" s="48" t="n"/>
      <c r="H221" s="65" t="n"/>
      <c r="I221" s="54" t="n"/>
    </row>
    <row r="222">
      <c r="A222" s="42" t="n"/>
      <c r="B222" s="69" t="n"/>
      <c r="C222" s="54" t="n"/>
      <c r="D222" s="54" t="n"/>
      <c r="E222" s="54" t="n"/>
      <c r="F222" s="54" t="n"/>
      <c r="G222" s="48" t="n"/>
      <c r="H222" s="65" t="n"/>
      <c r="I222" s="54" t="n"/>
    </row>
    <row r="223">
      <c r="A223" s="42" t="n"/>
      <c r="B223" s="69" t="n"/>
      <c r="C223" s="54" t="n"/>
      <c r="D223" s="54" t="n"/>
      <c r="E223" s="54" t="n"/>
      <c r="F223" s="54" t="n"/>
      <c r="G223" s="48" t="n"/>
      <c r="H223" s="65" t="n"/>
      <c r="I223" s="54" t="n"/>
    </row>
    <row r="224">
      <c r="A224" s="42" t="n"/>
      <c r="B224" s="69" t="n"/>
      <c r="C224" s="54" t="n"/>
      <c r="D224" s="54" t="n"/>
      <c r="E224" s="54" t="n"/>
      <c r="F224" s="54" t="n"/>
      <c r="G224" s="48" t="n"/>
      <c r="H224" s="65" t="n"/>
      <c r="I224" s="54" t="n"/>
    </row>
    <row r="225">
      <c r="A225" s="42" t="n"/>
      <c r="B225" s="69" t="n"/>
      <c r="C225" s="54" t="n"/>
      <c r="D225" s="54" t="n"/>
      <c r="E225" s="54" t="n"/>
      <c r="F225" s="54" t="n"/>
      <c r="G225" s="48" t="n"/>
      <c r="H225" s="65" t="n"/>
      <c r="I225" s="54" t="n"/>
    </row>
    <row r="226">
      <c r="A226" s="42" t="n"/>
      <c r="B226" s="69" t="n"/>
      <c r="C226" s="54" t="n"/>
      <c r="D226" s="54" t="n"/>
      <c r="E226" s="54" t="n"/>
      <c r="F226" s="54" t="n"/>
      <c r="G226" s="48" t="n"/>
      <c r="H226" s="65" t="n"/>
      <c r="I226" s="54" t="n"/>
    </row>
    <row r="227">
      <c r="A227" s="42" t="n"/>
      <c r="B227" s="69" t="n"/>
      <c r="C227" s="53" t="n"/>
      <c r="D227" s="54" t="n"/>
      <c r="E227" s="54" t="n"/>
      <c r="F227" s="54" t="n"/>
      <c r="G227" s="48" t="n"/>
      <c r="H227" s="65" t="n"/>
      <c r="I227" s="54" t="n"/>
    </row>
    <row r="228">
      <c r="A228" s="42" t="n"/>
      <c r="B228" s="69" t="n"/>
      <c r="C228" s="54" t="n"/>
      <c r="D228" s="54" t="n"/>
      <c r="E228" s="54" t="n"/>
      <c r="F228" s="54" t="n"/>
      <c r="G228" s="48" t="n"/>
      <c r="H228" s="65" t="n"/>
      <c r="I228" s="54" t="n"/>
    </row>
    <row r="229">
      <c r="A229" s="42" t="n"/>
      <c r="B229" s="69" t="n"/>
      <c r="C229" s="54" t="n"/>
      <c r="D229" s="54" t="n"/>
      <c r="E229" s="54" t="n"/>
      <c r="F229" s="54" t="n"/>
      <c r="G229" s="48" t="n"/>
      <c r="H229" s="65" t="n"/>
      <c r="I229" s="54" t="n"/>
    </row>
    <row r="230">
      <c r="A230" s="42" t="n"/>
      <c r="B230" s="69" t="n"/>
      <c r="C230" s="54" t="n"/>
      <c r="D230" s="54" t="n"/>
      <c r="E230" s="54" t="n"/>
      <c r="F230" s="54" t="n"/>
      <c r="G230" s="48" t="n"/>
      <c r="H230" s="65" t="n"/>
      <c r="I230" s="54" t="n"/>
    </row>
    <row r="231">
      <c r="A231" s="42" t="n"/>
      <c r="B231" s="69" t="n"/>
      <c r="C231" s="54" t="n"/>
      <c r="D231" s="54" t="n"/>
      <c r="E231" s="54" t="n"/>
      <c r="F231" s="54" t="n"/>
      <c r="G231" s="48" t="n"/>
      <c r="H231" s="65" t="n"/>
      <c r="I231" s="54" t="n"/>
    </row>
    <row r="232">
      <c r="A232" s="42" t="n"/>
      <c r="B232" s="69" t="n"/>
      <c r="C232" s="54" t="n"/>
      <c r="D232" s="54" t="n"/>
      <c r="E232" s="54" t="n"/>
      <c r="F232" s="54" t="n"/>
      <c r="G232" s="48" t="n"/>
      <c r="H232" s="65" t="n"/>
      <c r="I232" s="54" t="n"/>
    </row>
    <row r="233">
      <c r="A233" s="42" t="n"/>
      <c r="B233" s="69" t="n"/>
      <c r="C233" s="54" t="n"/>
      <c r="D233" s="54" t="n"/>
      <c r="E233" s="54" t="n"/>
      <c r="F233" s="54" t="n"/>
      <c r="G233" s="48" t="n"/>
      <c r="H233" s="65" t="n"/>
      <c r="I233" s="54" t="n"/>
    </row>
    <row r="234">
      <c r="A234" s="42" t="n"/>
      <c r="B234" s="69" t="n"/>
      <c r="C234" s="54" t="n"/>
      <c r="D234" s="54" t="n"/>
      <c r="E234" s="54" t="n"/>
      <c r="F234" s="54" t="n"/>
      <c r="G234" s="48" t="n"/>
      <c r="H234" s="65" t="n"/>
      <c r="I234" s="54" t="n"/>
    </row>
    <row r="235">
      <c r="A235" s="42" t="n"/>
      <c r="B235" s="69" t="n"/>
      <c r="C235" s="54" t="n"/>
      <c r="D235" s="54" t="n"/>
      <c r="E235" s="54" t="n"/>
      <c r="F235" s="54" t="n"/>
      <c r="G235" s="48" t="n"/>
      <c r="H235" s="65" t="n"/>
      <c r="I235" s="54" t="n"/>
    </row>
    <row r="236">
      <c r="A236" s="42" t="n"/>
      <c r="B236" s="69" t="n"/>
      <c r="C236" s="54" t="n"/>
      <c r="D236" s="54" t="n"/>
      <c r="E236" s="54" t="n"/>
      <c r="F236" s="54" t="n"/>
      <c r="G236" s="48" t="n"/>
      <c r="H236" s="65" t="n"/>
      <c r="I236" s="54" t="n"/>
    </row>
    <row r="237">
      <c r="A237" s="42" t="n"/>
      <c r="B237" s="69" t="n"/>
      <c r="C237" s="54" t="n"/>
      <c r="D237" s="54" t="n"/>
      <c r="E237" s="54" t="n"/>
      <c r="F237" s="54" t="n"/>
      <c r="G237" s="48" t="n"/>
      <c r="H237" s="65" t="n"/>
      <c r="I237" s="54" t="n"/>
    </row>
    <row r="238">
      <c r="A238" s="42" t="n"/>
      <c r="B238" s="69" t="n"/>
      <c r="C238" s="54" t="n"/>
      <c r="D238" s="54" t="n"/>
      <c r="E238" s="54" t="n"/>
      <c r="F238" s="54" t="n"/>
      <c r="G238" s="48" t="n"/>
      <c r="H238" s="65" t="n"/>
      <c r="I238" s="54" t="n"/>
    </row>
    <row r="239">
      <c r="A239" s="42" t="n"/>
      <c r="B239" s="69" t="n"/>
      <c r="C239" s="54" t="n"/>
      <c r="D239" s="54" t="n"/>
      <c r="E239" s="54" t="n"/>
      <c r="F239" s="54" t="n"/>
      <c r="G239" s="48" t="n"/>
      <c r="H239" s="65" t="n"/>
      <c r="I239" s="54" t="n"/>
    </row>
    <row r="240">
      <c r="A240" s="42" t="n"/>
      <c r="B240" s="69" t="n"/>
      <c r="C240" s="54" t="n"/>
      <c r="D240" s="54" t="n"/>
      <c r="E240" s="54" t="n"/>
      <c r="F240" s="54" t="n"/>
      <c r="G240" s="48" t="n"/>
      <c r="H240" s="65" t="n"/>
      <c r="I240" s="54" t="n"/>
    </row>
    <row r="241">
      <c r="A241" s="42" t="n"/>
      <c r="B241" s="69" t="n"/>
      <c r="C241" s="54" t="n"/>
      <c r="D241" s="54" t="n"/>
      <c r="E241" s="54" t="n"/>
      <c r="F241" s="54" t="n"/>
      <c r="G241" s="48" t="n"/>
      <c r="H241" s="65" t="n"/>
      <c r="I241" s="54" t="n"/>
    </row>
    <row r="242">
      <c r="A242" s="42" t="n"/>
      <c r="B242" s="69" t="n"/>
      <c r="C242" s="54" t="n"/>
      <c r="D242" s="54" t="n"/>
      <c r="E242" s="54" t="n"/>
      <c r="F242" s="54" t="n"/>
      <c r="G242" s="48" t="n"/>
      <c r="H242" s="65" t="n"/>
      <c r="I242" s="54" t="n"/>
    </row>
    <row r="243">
      <c r="A243" s="42" t="n"/>
      <c r="B243" s="69" t="n"/>
      <c r="C243" s="54" t="n"/>
      <c r="D243" s="54" t="n"/>
      <c r="E243" s="54" t="n"/>
      <c r="F243" s="54" t="n"/>
      <c r="G243" s="48" t="n"/>
      <c r="H243" s="65" t="n"/>
      <c r="I243" s="54" t="n"/>
    </row>
    <row r="244">
      <c r="A244" s="42" t="n"/>
      <c r="B244" s="69" t="n"/>
      <c r="C244" s="54" t="n"/>
      <c r="D244" s="54" t="n"/>
      <c r="E244" s="54" t="n"/>
      <c r="F244" s="54" t="n"/>
      <c r="G244" s="48" t="n"/>
      <c r="H244" s="65" t="n"/>
      <c r="I244" s="54" t="n"/>
    </row>
    <row r="245">
      <c r="A245" s="42" t="n"/>
      <c r="B245" s="69" t="n"/>
      <c r="C245" s="54" t="n"/>
      <c r="D245" s="54" t="n"/>
      <c r="E245" s="54" t="n"/>
      <c r="F245" s="54" t="n"/>
      <c r="G245" s="48" t="n"/>
      <c r="H245" s="65" t="n"/>
      <c r="I245" s="54" t="n"/>
    </row>
    <row r="246">
      <c r="A246" s="42" t="n"/>
      <c r="B246" s="69" t="n"/>
      <c r="C246" s="54" t="n"/>
      <c r="D246" s="54" t="n"/>
      <c r="E246" s="54" t="n"/>
      <c r="F246" s="54" t="n"/>
      <c r="G246" s="48" t="n"/>
      <c r="H246" s="65" t="n"/>
      <c r="I246" s="54" t="n"/>
    </row>
    <row r="247">
      <c r="A247" s="42" t="n"/>
      <c r="B247" s="69" t="n"/>
      <c r="C247" s="54" t="n"/>
      <c r="D247" s="54" t="n"/>
      <c r="E247" s="54" t="n"/>
      <c r="F247" s="54" t="n"/>
      <c r="G247" s="48" t="n"/>
      <c r="H247" s="65" t="n"/>
      <c r="I247" s="54" t="n"/>
    </row>
    <row r="248">
      <c r="A248" s="42" t="n"/>
      <c r="B248" s="69" t="n"/>
      <c r="C248" s="54" t="n"/>
      <c r="D248" s="54" t="n"/>
      <c r="E248" s="54" t="n"/>
      <c r="F248" s="54" t="n"/>
      <c r="G248" s="48" t="n"/>
      <c r="H248" s="65" t="n"/>
      <c r="I248" s="54" t="n"/>
    </row>
    <row r="249">
      <c r="A249" s="42" t="n"/>
      <c r="B249" s="69" t="n"/>
      <c r="C249" s="54" t="n"/>
      <c r="D249" s="54" t="n"/>
      <c r="E249" s="54" t="n"/>
      <c r="F249" s="54" t="n"/>
      <c r="G249" s="48" t="n"/>
      <c r="H249" s="65" t="n"/>
      <c r="I249" s="54" t="n"/>
    </row>
    <row r="250">
      <c r="A250" s="42" t="n"/>
      <c r="B250" s="69" t="n"/>
      <c r="C250" s="54" t="n"/>
      <c r="D250" s="54" t="n"/>
      <c r="E250" s="54" t="n"/>
      <c r="F250" s="54" t="n"/>
      <c r="G250" s="48" t="n"/>
      <c r="H250" s="65" t="n"/>
      <c r="I250" s="54" t="n"/>
    </row>
    <row r="251">
      <c r="A251" s="42" t="n"/>
      <c r="B251" s="69" t="n"/>
      <c r="C251" s="54" t="n"/>
      <c r="D251" s="54" t="n"/>
      <c r="E251" s="54" t="n"/>
      <c r="F251" s="54" t="n"/>
      <c r="G251" s="48" t="n"/>
      <c r="H251" s="65" t="n"/>
      <c r="I251" s="54" t="n"/>
    </row>
    <row r="252">
      <c r="A252" s="42" t="n"/>
      <c r="B252" s="69" t="n"/>
      <c r="C252" s="53" t="n"/>
      <c r="D252" s="54" t="n"/>
      <c r="E252" s="54" t="n"/>
      <c r="F252" s="54" t="n"/>
      <c r="G252" s="48" t="n"/>
      <c r="H252" s="65" t="n"/>
      <c r="I252" s="54" t="n"/>
    </row>
    <row r="253">
      <c r="A253" s="42" t="n"/>
      <c r="B253" s="69" t="n"/>
      <c r="C253" s="54" t="n"/>
      <c r="D253" s="54" t="n"/>
      <c r="E253" s="54" t="n"/>
      <c r="F253" s="54" t="n"/>
      <c r="G253" s="48" t="n"/>
      <c r="H253" s="65" t="n"/>
      <c r="I253" s="54" t="n"/>
    </row>
    <row r="254">
      <c r="A254" s="42" t="n"/>
      <c r="B254" s="69" t="n"/>
      <c r="C254" s="54" t="n"/>
      <c r="D254" s="54" t="n"/>
      <c r="E254" s="54" t="n"/>
      <c r="F254" s="54" t="n"/>
      <c r="G254" s="48" t="n"/>
      <c r="H254" s="65" t="n"/>
      <c r="I254" s="54" t="n"/>
    </row>
    <row r="255">
      <c r="A255" s="42" t="n"/>
      <c r="B255" s="69" t="n"/>
      <c r="C255" s="54" t="n"/>
      <c r="D255" s="54" t="n"/>
      <c r="E255" s="54" t="n"/>
      <c r="F255" s="54" t="n"/>
      <c r="G255" s="48" t="n"/>
      <c r="H255" s="65" t="n"/>
      <c r="I255" s="54" t="n"/>
    </row>
    <row r="256">
      <c r="A256" s="42" t="n"/>
      <c r="B256" s="69" t="n"/>
      <c r="C256" s="54" t="n"/>
      <c r="D256" s="54" t="n"/>
      <c r="E256" s="54" t="n"/>
      <c r="F256" s="54" t="n"/>
      <c r="G256" s="48" t="n"/>
      <c r="H256" s="65" t="n"/>
      <c r="I256" s="54" t="n"/>
    </row>
    <row r="257">
      <c r="A257" s="42" t="n"/>
      <c r="B257" s="69" t="n"/>
      <c r="C257" s="54" t="n"/>
      <c r="D257" s="54" t="n"/>
      <c r="E257" s="54" t="n"/>
      <c r="F257" s="54" t="n"/>
      <c r="G257" s="48" t="n"/>
      <c r="H257" s="65" t="n"/>
      <c r="I257" s="54" t="n"/>
    </row>
    <row r="258">
      <c r="A258" s="42" t="n"/>
      <c r="B258" s="69" t="n"/>
      <c r="C258" s="54" t="n"/>
      <c r="D258" s="54" t="n"/>
      <c r="E258" s="59" t="n"/>
      <c r="F258" s="54" t="n"/>
      <c r="G258" s="48" t="n"/>
      <c r="H258" s="65" t="n"/>
      <c r="I258" s="54" t="n"/>
    </row>
    <row r="259">
      <c r="A259" s="42" t="n"/>
      <c r="B259" s="69" t="n"/>
      <c r="C259" s="54" t="n"/>
      <c r="D259" s="54" t="n"/>
      <c r="E259" s="59" t="n"/>
      <c r="F259" s="54" t="n"/>
      <c r="G259" s="48" t="n"/>
      <c r="H259" s="65" t="n"/>
      <c r="I259" s="54" t="n"/>
    </row>
    <row r="260">
      <c r="A260" s="42" t="n"/>
      <c r="B260" s="69" t="n"/>
      <c r="C260" s="54" t="n"/>
      <c r="D260" s="54" t="n"/>
      <c r="E260" s="59" t="n"/>
      <c r="F260" s="54" t="n"/>
      <c r="G260" s="48" t="n"/>
      <c r="H260" s="65" t="n"/>
      <c r="I260" s="54" t="n"/>
    </row>
    <row r="261">
      <c r="A261" s="42" t="n"/>
      <c r="B261" s="69" t="n"/>
      <c r="C261" s="54" t="n"/>
      <c r="D261" s="54" t="n"/>
      <c r="E261" s="59" t="n"/>
      <c r="F261" s="54" t="n"/>
      <c r="G261" s="48" t="n"/>
      <c r="H261" s="65" t="n"/>
      <c r="I261" s="54" t="n"/>
    </row>
    <row r="262">
      <c r="A262" s="42" t="n"/>
      <c r="B262" s="69" t="n"/>
      <c r="C262" s="54" t="n"/>
      <c r="D262" s="54" t="n"/>
      <c r="E262" s="59" t="n"/>
      <c r="F262" s="54" t="n"/>
      <c r="G262" s="48" t="n"/>
      <c r="H262" s="65" t="n"/>
      <c r="I262" s="54" t="n"/>
    </row>
    <row r="263">
      <c r="A263" s="42" t="n"/>
      <c r="B263" s="69" t="n"/>
      <c r="C263" s="54" t="n"/>
      <c r="D263" s="54" t="n"/>
      <c r="E263" s="59" t="n"/>
      <c r="F263" s="54" t="n"/>
      <c r="G263" s="48" t="n"/>
      <c r="H263" s="65" t="n"/>
      <c r="I263" s="54" t="n"/>
    </row>
    <row r="264">
      <c r="A264" s="42" t="n"/>
      <c r="B264" s="69" t="n"/>
      <c r="C264" s="54" t="n"/>
      <c r="D264" s="54" t="n"/>
      <c r="E264" s="59" t="n"/>
      <c r="F264" s="54" t="n"/>
      <c r="G264" s="48" t="n"/>
      <c r="H264" s="65" t="n"/>
      <c r="I264" s="54" t="n"/>
    </row>
    <row r="265">
      <c r="A265" s="42" t="n"/>
      <c r="B265" s="69" t="n"/>
      <c r="C265" s="54" t="n"/>
      <c r="D265" s="54" t="n"/>
      <c r="E265" s="59" t="n"/>
      <c r="F265" s="54" t="n"/>
      <c r="G265" s="48" t="n"/>
      <c r="H265" s="65" t="n"/>
      <c r="I265" s="54" t="n"/>
    </row>
    <row r="266">
      <c r="A266" s="42" t="n"/>
      <c r="B266" s="69" t="n"/>
      <c r="C266" s="54" t="n"/>
      <c r="D266" s="54" t="n"/>
      <c r="E266" s="59" t="n"/>
      <c r="F266" s="54" t="n"/>
      <c r="G266" s="48" t="n"/>
      <c r="H266" s="65" t="n"/>
      <c r="I266" s="54" t="n"/>
    </row>
    <row r="267">
      <c r="A267" s="42" t="n"/>
      <c r="B267" s="69" t="n"/>
      <c r="C267" s="54" t="n"/>
      <c r="D267" s="54" t="n"/>
      <c r="E267" s="59" t="n"/>
      <c r="F267" s="54" t="n"/>
      <c r="G267" s="48" t="n"/>
      <c r="H267" s="65" t="n"/>
      <c r="I267" s="54" t="n"/>
    </row>
    <row r="268">
      <c r="A268" s="42" t="n"/>
      <c r="B268" s="69" t="n"/>
      <c r="C268" s="54" t="n"/>
      <c r="D268" s="54" t="n"/>
      <c r="E268" s="59" t="n"/>
      <c r="F268" s="54" t="n"/>
      <c r="G268" s="48" t="n"/>
      <c r="H268" s="65" t="n"/>
      <c r="I268" s="54" t="n"/>
    </row>
    <row r="269">
      <c r="A269" s="42" t="n"/>
      <c r="B269" s="69" t="n"/>
      <c r="C269" s="54" t="n"/>
      <c r="D269" s="54" t="n"/>
      <c r="E269" s="54" t="n"/>
      <c r="F269" s="54" t="n"/>
      <c r="G269" s="48" t="n"/>
      <c r="H269" s="65" t="n"/>
      <c r="I269" s="54" t="n"/>
    </row>
    <row r="270">
      <c r="A270" s="42" t="n"/>
      <c r="B270" s="69" t="n"/>
      <c r="C270" s="54" t="n"/>
      <c r="D270" s="54" t="n"/>
      <c r="E270" s="59" t="n"/>
      <c r="F270" s="54" t="n"/>
      <c r="G270" s="48" t="n"/>
      <c r="H270" s="65" t="n"/>
      <c r="I270" s="54" t="n"/>
    </row>
    <row r="271">
      <c r="A271" s="42" t="n"/>
      <c r="B271" s="69" t="n"/>
      <c r="C271" s="54" t="n"/>
      <c r="D271" s="54" t="n"/>
      <c r="E271" s="59" t="n"/>
      <c r="F271" s="54" t="n"/>
      <c r="G271" s="48" t="n"/>
      <c r="H271" s="65" t="n"/>
      <c r="I271" s="54" t="n"/>
    </row>
    <row r="272">
      <c r="A272" s="42" t="n"/>
      <c r="B272" s="69" t="n"/>
      <c r="C272" s="54" t="n"/>
      <c r="D272" s="54" t="n"/>
      <c r="E272" s="59" t="n"/>
      <c r="F272" s="54" t="n"/>
      <c r="G272" s="48" t="n"/>
      <c r="H272" s="65" t="n"/>
      <c r="I272" s="54" t="n"/>
    </row>
    <row r="273">
      <c r="A273" s="42" t="n"/>
      <c r="B273" s="69" t="n"/>
      <c r="C273" s="54" t="n"/>
      <c r="D273" s="54" t="n"/>
      <c r="E273" s="59" t="n"/>
      <c r="F273" s="54" t="n"/>
      <c r="G273" s="48" t="n"/>
      <c r="H273" s="65" t="n"/>
      <c r="I273" s="54" t="n"/>
    </row>
    <row r="274">
      <c r="A274" s="42" t="n"/>
      <c r="B274" s="69" t="n"/>
      <c r="C274" s="54" t="n"/>
      <c r="D274" s="54" t="n"/>
      <c r="E274" s="59" t="n"/>
      <c r="F274" s="54" t="n"/>
      <c r="G274" s="48" t="n"/>
      <c r="H274" s="65" t="n"/>
      <c r="I274" s="54" t="n"/>
    </row>
    <row r="275">
      <c r="A275" s="42" t="n"/>
      <c r="B275" s="69" t="n"/>
      <c r="C275" s="54" t="n"/>
      <c r="D275" s="54" t="n"/>
      <c r="E275" s="59" t="n"/>
      <c r="F275" s="54" t="n"/>
      <c r="G275" s="48" t="n"/>
      <c r="H275" s="65" t="n"/>
      <c r="I275" s="54" t="n"/>
    </row>
    <row r="276">
      <c r="A276" s="42" t="n"/>
      <c r="B276" s="69" t="n"/>
      <c r="C276" s="54" t="n"/>
      <c r="D276" s="54" t="n"/>
      <c r="E276" s="59" t="n"/>
      <c r="F276" s="54" t="n"/>
      <c r="G276" s="48" t="n"/>
      <c r="H276" s="65" t="n"/>
      <c r="I276" s="54" t="n"/>
    </row>
    <row r="277">
      <c r="A277" s="42" t="n"/>
      <c r="B277" s="69" t="n"/>
      <c r="C277" s="53" t="n"/>
      <c r="D277" s="54" t="n"/>
      <c r="E277" s="59" t="n"/>
      <c r="F277" s="54" t="n"/>
      <c r="G277" s="48" t="n"/>
      <c r="H277" s="65" t="n"/>
      <c r="I277" s="54" t="n"/>
    </row>
    <row r="278">
      <c r="A278" s="42" t="n"/>
      <c r="B278" s="69" t="n"/>
      <c r="C278" s="54" t="n"/>
      <c r="D278" s="54" t="n"/>
      <c r="E278" s="59" t="n"/>
      <c r="F278" s="54" t="n"/>
      <c r="G278" s="48" t="n"/>
      <c r="H278" s="65" t="n"/>
      <c r="I278" s="54" t="n"/>
    </row>
    <row r="279">
      <c r="A279" s="42" t="n"/>
      <c r="B279" s="69" t="n"/>
      <c r="C279" s="54" t="n"/>
      <c r="D279" s="54" t="n"/>
      <c r="E279" s="59" t="n"/>
      <c r="F279" s="54" t="n"/>
      <c r="G279" s="48" t="n"/>
      <c r="H279" s="65" t="n"/>
      <c r="I279" s="54" t="n"/>
    </row>
    <row r="280">
      <c r="A280" s="42" t="n"/>
      <c r="B280" s="69" t="n"/>
      <c r="C280" s="54" t="n"/>
      <c r="D280" s="54" t="n"/>
      <c r="E280" s="59" t="n"/>
      <c r="F280" s="54" t="n"/>
      <c r="G280" s="48" t="n"/>
      <c r="H280" s="65" t="n"/>
      <c r="I280" s="54" t="n"/>
    </row>
    <row r="281">
      <c r="A281" s="42" t="n"/>
      <c r="B281" s="69" t="n"/>
      <c r="C281" s="54" t="n"/>
      <c r="D281" s="54" t="n"/>
      <c r="E281" s="59" t="n"/>
      <c r="F281" s="54" t="n"/>
      <c r="G281" s="48" t="n"/>
      <c r="H281" s="65" t="n"/>
      <c r="I281" s="54" t="n"/>
    </row>
    <row r="282">
      <c r="A282" s="42" t="n"/>
      <c r="B282" s="69" t="n"/>
      <c r="C282" s="54" t="n"/>
      <c r="D282" s="54" t="n"/>
      <c r="E282" s="59" t="n"/>
      <c r="F282" s="54" t="n"/>
      <c r="G282" s="48" t="n"/>
      <c r="H282" s="65" t="n"/>
      <c r="I282" s="54" t="n"/>
    </row>
    <row r="283">
      <c r="A283" s="42" t="n"/>
      <c r="B283" s="69" t="n"/>
      <c r="C283" s="54" t="n"/>
      <c r="D283" s="54" t="n"/>
      <c r="E283" s="59" t="n"/>
      <c r="F283" s="54" t="n"/>
      <c r="G283" s="48" t="n"/>
      <c r="H283" s="65" t="n"/>
      <c r="I283" s="54" t="n"/>
    </row>
    <row r="284">
      <c r="A284" s="42" t="n"/>
      <c r="B284" s="69" t="n"/>
      <c r="C284" s="54" t="n"/>
      <c r="D284" s="54" t="n"/>
      <c r="E284" s="59" t="n"/>
      <c r="F284" s="54" t="n"/>
      <c r="G284" s="48" t="n"/>
      <c r="H284" s="65" t="n"/>
      <c r="I284" s="54" t="n"/>
    </row>
    <row r="285">
      <c r="A285" s="42" t="n"/>
      <c r="B285" s="69" t="n"/>
      <c r="C285" s="54" t="n"/>
      <c r="D285" s="54" t="n"/>
      <c r="E285" s="59" t="n"/>
      <c r="F285" s="54" t="n"/>
      <c r="G285" s="48" t="n"/>
      <c r="H285" s="65" t="n"/>
      <c r="I285" s="54" t="n"/>
    </row>
    <row r="286">
      <c r="A286" s="42" t="n"/>
      <c r="B286" s="69" t="n"/>
      <c r="C286" s="54" t="n"/>
      <c r="D286" s="54" t="n"/>
      <c r="E286" s="59" t="n"/>
      <c r="F286" s="54" t="n"/>
      <c r="G286" s="48" t="n"/>
      <c r="H286" s="65" t="n"/>
      <c r="I286" s="54" t="n"/>
    </row>
    <row r="287">
      <c r="A287" s="42" t="n"/>
      <c r="B287" s="69" t="n"/>
      <c r="C287" s="54" t="n"/>
      <c r="D287" s="54" t="n"/>
      <c r="E287" s="59" t="n"/>
      <c r="F287" s="54" t="n"/>
      <c r="G287" s="48" t="n"/>
      <c r="H287" s="65" t="n"/>
      <c r="I287" s="54" t="n"/>
    </row>
    <row r="288">
      <c r="A288" s="42" t="n"/>
      <c r="B288" s="69" t="n"/>
      <c r="C288" s="54" t="n"/>
      <c r="D288" s="54" t="n"/>
      <c r="E288" s="59" t="n"/>
      <c r="F288" s="54" t="n"/>
      <c r="G288" s="48" t="n"/>
      <c r="H288" s="65" t="n"/>
      <c r="I288" s="54" t="n"/>
    </row>
    <row r="289">
      <c r="A289" s="42" t="n"/>
      <c r="B289" s="69" t="n"/>
      <c r="C289" s="54" t="n"/>
      <c r="D289" s="54" t="n"/>
      <c r="E289" s="59" t="n"/>
      <c r="F289" s="54" t="n"/>
      <c r="G289" s="48" t="n"/>
      <c r="H289" s="65" t="n"/>
      <c r="I289" s="54" t="n"/>
    </row>
    <row r="290">
      <c r="A290" s="42" t="n"/>
      <c r="B290" s="69" t="n"/>
      <c r="C290" s="54" t="n"/>
      <c r="D290" s="54" t="n"/>
      <c r="E290" s="59" t="n"/>
      <c r="F290" s="54" t="n"/>
      <c r="G290" s="48" t="n"/>
      <c r="H290" s="65" t="n"/>
      <c r="I290" s="54" t="n"/>
    </row>
    <row r="291">
      <c r="A291" s="42" t="n"/>
      <c r="B291" s="69" t="n"/>
      <c r="C291" s="54" t="n"/>
      <c r="D291" s="54" t="n"/>
      <c r="E291" s="59" t="n"/>
      <c r="F291" s="54" t="n"/>
      <c r="G291" s="48" t="n"/>
      <c r="H291" s="65" t="n"/>
      <c r="I291" s="54" t="n"/>
    </row>
    <row r="292">
      <c r="A292" s="42" t="n"/>
      <c r="B292" s="69" t="n"/>
      <c r="C292" s="54" t="n"/>
      <c r="D292" s="54" t="n"/>
      <c r="E292" s="59" t="n"/>
      <c r="F292" s="54" t="n"/>
      <c r="G292" s="48" t="n"/>
      <c r="H292" s="65" t="n"/>
      <c r="I292" s="54" t="n"/>
    </row>
    <row r="293">
      <c r="A293" s="42" t="n"/>
      <c r="B293" s="69" t="n"/>
      <c r="C293" s="54" t="n"/>
      <c r="D293" s="54" t="n"/>
      <c r="E293" s="59" t="n"/>
      <c r="F293" s="54" t="n"/>
      <c r="G293" s="48" t="n"/>
      <c r="H293" s="65" t="n"/>
      <c r="I293" s="54" t="n"/>
    </row>
    <row r="294">
      <c r="A294" s="42" t="n"/>
      <c r="B294" s="69" t="n"/>
      <c r="C294" s="54" t="n"/>
      <c r="D294" s="54" t="n"/>
      <c r="E294" s="54" t="n"/>
      <c r="F294" s="54" t="n"/>
      <c r="G294" s="48" t="n"/>
      <c r="H294" s="65" t="n"/>
      <c r="I294" s="54" t="n"/>
    </row>
    <row r="295">
      <c r="A295" s="42" t="n"/>
      <c r="B295" s="69" t="n"/>
      <c r="C295" s="54" t="n"/>
      <c r="D295" s="54" t="n"/>
      <c r="E295" s="59" t="n"/>
      <c r="F295" s="54" t="n"/>
      <c r="G295" s="48" t="n"/>
      <c r="H295" s="65" t="n"/>
      <c r="I295" s="54" t="n"/>
    </row>
    <row r="296">
      <c r="A296" s="42" t="n"/>
      <c r="B296" s="69" t="n"/>
      <c r="C296" s="54" t="n"/>
      <c r="D296" s="54" t="n"/>
      <c r="E296" s="59" t="n"/>
      <c r="F296" s="54" t="n"/>
      <c r="G296" s="48" t="n"/>
      <c r="H296" s="65" t="n"/>
      <c r="I296" s="54" t="n"/>
    </row>
    <row r="297">
      <c r="A297" s="42" t="n"/>
      <c r="B297" s="69" t="n"/>
      <c r="C297" s="54" t="n"/>
      <c r="D297" s="54" t="n"/>
      <c r="E297" s="59" t="n"/>
      <c r="F297" s="54" t="n"/>
      <c r="G297" s="48" t="n"/>
      <c r="H297" s="65" t="n"/>
      <c r="I297" s="54" t="n"/>
    </row>
    <row r="298">
      <c r="A298" s="42" t="n"/>
      <c r="B298" s="69" t="n"/>
      <c r="C298" s="54" t="n"/>
      <c r="D298" s="54" t="n"/>
      <c r="E298" s="59" t="n"/>
      <c r="F298" s="54" t="n"/>
      <c r="G298" s="48" t="n"/>
      <c r="H298" s="65" t="n"/>
      <c r="I298" s="54" t="n"/>
    </row>
    <row r="299">
      <c r="A299" s="42" t="n"/>
      <c r="B299" s="69" t="n"/>
      <c r="C299" s="54" t="n"/>
      <c r="D299" s="54" t="n"/>
      <c r="E299" s="59" t="n"/>
      <c r="F299" s="54" t="n"/>
      <c r="G299" s="48" t="n"/>
      <c r="H299" s="65" t="n"/>
      <c r="I299" s="54" t="n"/>
    </row>
    <row r="300">
      <c r="A300" s="42" t="n"/>
      <c r="B300" s="69" t="n"/>
      <c r="C300" s="54" t="n"/>
      <c r="D300" s="54" t="n"/>
      <c r="E300" s="59" t="n"/>
      <c r="F300" s="54" t="n"/>
      <c r="G300" s="48" t="n"/>
      <c r="H300" s="65" t="n"/>
      <c r="I300" s="54" t="n"/>
    </row>
    <row r="301">
      <c r="A301" s="42" t="n"/>
      <c r="B301" s="69" t="n"/>
      <c r="C301" s="54" t="n"/>
      <c r="D301" s="54" t="n"/>
      <c r="E301" s="59" t="n"/>
      <c r="F301" s="54" t="n"/>
      <c r="G301" s="48" t="n"/>
      <c r="H301" s="65" t="n"/>
      <c r="I301" s="54" t="n"/>
    </row>
    <row r="302">
      <c r="A302" s="42" t="n"/>
      <c r="B302" s="69" t="n"/>
      <c r="C302" s="53" t="n"/>
      <c r="D302" s="54" t="n"/>
      <c r="E302" s="59" t="n"/>
      <c r="F302" s="54" t="n"/>
      <c r="G302" s="48" t="n"/>
      <c r="H302" s="65" t="n"/>
      <c r="I302" s="54" t="n"/>
    </row>
    <row r="303">
      <c r="A303" s="42" t="n"/>
      <c r="B303" s="69" t="n"/>
      <c r="C303" s="54" t="n"/>
      <c r="D303" s="54" t="n"/>
      <c r="E303" s="59" t="n"/>
      <c r="F303" s="54" t="n"/>
      <c r="G303" s="48" t="n"/>
      <c r="H303" s="65" t="n"/>
      <c r="I303" s="54" t="n"/>
    </row>
    <row r="304">
      <c r="A304" s="42" t="n"/>
      <c r="B304" s="69" t="n"/>
      <c r="C304" s="54" t="n"/>
      <c r="D304" s="54" t="n"/>
      <c r="E304" s="59" t="n"/>
      <c r="F304" s="54" t="n"/>
      <c r="G304" s="48" t="n"/>
      <c r="H304" s="65" t="n"/>
      <c r="I304" s="54" t="n"/>
    </row>
    <row r="305">
      <c r="A305" s="42" t="n"/>
      <c r="B305" s="69" t="n"/>
      <c r="C305" s="54" t="n"/>
      <c r="D305" s="54" t="n"/>
      <c r="E305" s="59" t="n"/>
      <c r="F305" s="54" t="n"/>
      <c r="G305" s="48" t="n"/>
      <c r="H305" s="65" t="n"/>
      <c r="I305" s="54" t="n"/>
    </row>
    <row r="306">
      <c r="A306" s="42" t="n"/>
      <c r="B306" s="69" t="n"/>
      <c r="C306" s="54" t="n"/>
      <c r="D306" s="54" t="n"/>
      <c r="E306" s="59" t="n"/>
      <c r="F306" s="54" t="n"/>
      <c r="G306" s="48" t="n"/>
      <c r="H306" s="65" t="n"/>
      <c r="I306" s="54" t="n"/>
    </row>
    <row r="307">
      <c r="A307" s="42" t="n"/>
      <c r="B307" s="69" t="n"/>
      <c r="C307" s="54" t="n"/>
      <c r="D307" s="54" t="n"/>
      <c r="E307" s="59" t="n"/>
      <c r="F307" s="54" t="n"/>
      <c r="G307" s="48" t="n"/>
      <c r="H307" s="65" t="n"/>
      <c r="I307" s="54" t="n"/>
    </row>
    <row r="308">
      <c r="A308" s="42" t="n"/>
      <c r="B308" s="69" t="n"/>
      <c r="C308" s="54" t="n"/>
      <c r="D308" s="54" t="n"/>
      <c r="E308" s="59" t="n"/>
      <c r="F308" s="54" t="n"/>
      <c r="G308" s="48" t="n"/>
      <c r="H308" s="65" t="n"/>
      <c r="I308" s="54" t="n"/>
    </row>
    <row r="309">
      <c r="A309" s="42" t="n"/>
      <c r="B309" s="69" t="n"/>
      <c r="C309" s="54" t="n"/>
      <c r="D309" s="54" t="n"/>
      <c r="E309" s="59" t="n"/>
      <c r="F309" s="54" t="n"/>
      <c r="G309" s="48" t="n"/>
      <c r="H309" s="65" t="n"/>
      <c r="I309" s="54" t="n"/>
    </row>
    <row r="310">
      <c r="A310" s="42" t="n"/>
      <c r="B310" s="69" t="n"/>
      <c r="C310" s="54" t="n"/>
      <c r="D310" s="54" t="n"/>
      <c r="E310" s="59" t="n"/>
      <c r="F310" s="54" t="n"/>
      <c r="G310" s="48" t="n"/>
      <c r="H310" s="65" t="n"/>
      <c r="I310" s="54" t="n"/>
    </row>
    <row r="311">
      <c r="A311" s="42" t="n"/>
      <c r="B311" s="69" t="n"/>
      <c r="C311" s="54" t="n"/>
      <c r="D311" s="54" t="n"/>
      <c r="E311" s="59" t="n"/>
      <c r="F311" s="54" t="n"/>
      <c r="G311" s="48" t="n"/>
      <c r="H311" s="65" t="n"/>
      <c r="I311" s="54" t="n"/>
    </row>
    <row r="312">
      <c r="A312" s="42" t="n"/>
      <c r="B312" s="69" t="n"/>
      <c r="C312" s="54" t="n"/>
      <c r="D312" s="54" t="n"/>
      <c r="E312" s="59" t="n"/>
      <c r="F312" s="54" t="n"/>
      <c r="G312" s="48" t="n"/>
      <c r="H312" s="65" t="n"/>
      <c r="I312" s="54" t="n"/>
    </row>
    <row r="313">
      <c r="A313" s="42" t="n"/>
      <c r="B313" s="69" t="n"/>
      <c r="C313" s="54" t="n"/>
      <c r="D313" s="54" t="n"/>
      <c r="E313" s="59" t="n"/>
      <c r="F313" s="54" t="n"/>
      <c r="G313" s="48" t="n"/>
      <c r="H313" s="65" t="n"/>
      <c r="I313" s="54" t="n"/>
    </row>
    <row r="314">
      <c r="A314" s="42" t="n"/>
      <c r="B314" s="69" t="n"/>
      <c r="C314" s="54" t="n"/>
      <c r="D314" s="54" t="n"/>
      <c r="E314" s="59" t="n"/>
      <c r="F314" s="54" t="n"/>
      <c r="G314" s="48" t="n"/>
      <c r="H314" s="65" t="n"/>
      <c r="I314" s="54" t="n"/>
    </row>
    <row r="315">
      <c r="A315" s="42" t="n"/>
      <c r="B315" s="69" t="n"/>
      <c r="C315" s="54" t="n"/>
      <c r="D315" s="54" t="n"/>
      <c r="E315" s="59" t="n"/>
      <c r="F315" s="54" t="n"/>
      <c r="G315" s="48" t="n"/>
      <c r="H315" s="65" t="n"/>
      <c r="I315" s="54" t="n"/>
    </row>
    <row r="316">
      <c r="A316" s="42" t="n"/>
      <c r="B316" s="69" t="n"/>
      <c r="C316" s="54" t="n"/>
      <c r="D316" s="54" t="n"/>
      <c r="E316" s="59" t="n"/>
      <c r="F316" s="54" t="n"/>
      <c r="G316" s="48" t="n"/>
      <c r="H316" s="65" t="n"/>
      <c r="I316" s="54" t="n"/>
    </row>
    <row r="317">
      <c r="A317" s="42" t="n"/>
      <c r="B317" s="69" t="n"/>
      <c r="C317" s="54" t="n"/>
      <c r="D317" s="54" t="n"/>
      <c r="E317" s="59" t="n"/>
      <c r="F317" s="54" t="n"/>
      <c r="G317" s="48" t="n"/>
      <c r="H317" s="65" t="n"/>
      <c r="I317" s="54" t="n"/>
    </row>
    <row r="318">
      <c r="A318" s="42" t="n"/>
      <c r="B318" s="69" t="n"/>
      <c r="C318" s="54" t="n"/>
      <c r="D318" s="54" t="n"/>
      <c r="E318" s="59" t="n"/>
      <c r="F318" s="54" t="n"/>
      <c r="G318" s="48" t="n"/>
      <c r="H318" s="65" t="n"/>
      <c r="I318" s="54" t="n"/>
    </row>
    <row r="319">
      <c r="A319" s="42" t="n"/>
      <c r="B319" s="69" t="n"/>
      <c r="C319" s="54" t="n"/>
      <c r="D319" s="54" t="n"/>
      <c r="E319" s="54" t="n"/>
      <c r="F319" s="54" t="n"/>
      <c r="G319" s="48" t="n"/>
      <c r="H319" s="65" t="n"/>
      <c r="I319" s="54" t="n"/>
    </row>
    <row r="320">
      <c r="A320" s="42" t="n"/>
      <c r="B320" s="69" t="n"/>
      <c r="C320" s="54" t="n"/>
      <c r="D320" s="54" t="n"/>
      <c r="E320" s="59" t="n"/>
      <c r="F320" s="54" t="n"/>
      <c r="G320" s="48" t="n"/>
      <c r="H320" s="65" t="n"/>
      <c r="I320" s="54" t="n"/>
    </row>
    <row r="321">
      <c r="A321" s="42" t="n"/>
      <c r="B321" s="69" t="n"/>
      <c r="C321" s="54" t="n"/>
      <c r="D321" s="54" t="n"/>
      <c r="E321" s="59" t="n"/>
      <c r="F321" s="54" t="n"/>
      <c r="G321" s="48" t="n"/>
      <c r="H321" s="65" t="n"/>
      <c r="I321" s="54" t="n"/>
    </row>
    <row r="322">
      <c r="A322" s="42" t="n"/>
      <c r="B322" s="69" t="n"/>
      <c r="C322" s="54" t="n"/>
      <c r="D322" s="54" t="n"/>
      <c r="E322" s="59" t="n"/>
      <c r="F322" s="54" t="n"/>
      <c r="G322" s="48" t="n"/>
      <c r="H322" s="65" t="n"/>
      <c r="I322" s="54" t="n"/>
    </row>
    <row r="323">
      <c r="A323" s="42" t="n"/>
      <c r="B323" s="69" t="n"/>
      <c r="C323" s="54" t="n"/>
      <c r="D323" s="54" t="n"/>
      <c r="E323" s="59" t="n"/>
      <c r="F323" s="54" t="n"/>
      <c r="G323" s="48" t="n"/>
      <c r="H323" s="65" t="n"/>
      <c r="I323" s="54" t="n"/>
    </row>
    <row r="324">
      <c r="A324" s="42" t="n"/>
      <c r="B324" s="69" t="n"/>
      <c r="C324" s="54" t="n"/>
      <c r="D324" s="54" t="n"/>
      <c r="E324" s="59" t="n"/>
      <c r="F324" s="54" t="n"/>
      <c r="G324" s="48" t="n"/>
      <c r="H324" s="65" t="n"/>
      <c r="I324" s="54" t="n"/>
    </row>
    <row r="325">
      <c r="A325" s="42" t="n"/>
      <c r="B325" s="69" t="n"/>
      <c r="C325" s="54" t="n"/>
      <c r="D325" s="54" t="n"/>
      <c r="E325" s="59" t="n"/>
      <c r="F325" s="54" t="n"/>
      <c r="G325" s="48" t="n"/>
      <c r="H325" s="65" t="n"/>
      <c r="I325" s="54" t="n"/>
    </row>
    <row r="326">
      <c r="A326" s="42" t="n"/>
      <c r="B326" s="69" t="n"/>
      <c r="C326" s="54" t="n"/>
      <c r="D326" s="54" t="n"/>
      <c r="E326" s="59" t="n"/>
      <c r="F326" s="54" t="n"/>
      <c r="G326" s="48" t="n"/>
      <c r="H326" s="65" t="n"/>
      <c r="I326" s="54" t="n"/>
    </row>
    <row r="327">
      <c r="A327" s="42" t="n"/>
      <c r="B327" s="69" t="n"/>
      <c r="C327" s="53" t="n"/>
      <c r="D327" s="54" t="n"/>
      <c r="E327" s="59" t="n"/>
      <c r="F327" s="54" t="n"/>
      <c r="G327" s="48" t="n"/>
      <c r="H327" s="65" t="n"/>
      <c r="I327" s="54" t="n"/>
    </row>
    <row r="328">
      <c r="A328" s="42" t="n"/>
      <c r="B328" s="69" t="n"/>
      <c r="C328" s="54" t="n"/>
      <c r="D328" s="54" t="n"/>
      <c r="E328" s="59" t="n"/>
      <c r="F328" s="54" t="n"/>
      <c r="G328" s="48" t="n"/>
      <c r="H328" s="65" t="n"/>
      <c r="I328" s="54" t="n"/>
    </row>
    <row r="329">
      <c r="A329" s="42" t="n"/>
      <c r="B329" s="69" t="n"/>
      <c r="C329" s="54" t="n"/>
      <c r="D329" s="54" t="n"/>
      <c r="E329" s="59" t="n"/>
      <c r="F329" s="54" t="n"/>
      <c r="G329" s="48" t="n"/>
      <c r="H329" s="65" t="n"/>
      <c r="I329" s="54" t="n"/>
    </row>
    <row r="330">
      <c r="A330" s="42" t="n"/>
      <c r="B330" s="69" t="n"/>
      <c r="C330" s="54" t="n"/>
      <c r="D330" s="54" t="n"/>
      <c r="E330" s="59" t="n"/>
      <c r="F330" s="54" t="n"/>
      <c r="G330" s="48" t="n"/>
      <c r="H330" s="65" t="n"/>
      <c r="I330" s="54" t="n"/>
    </row>
    <row r="331">
      <c r="A331" s="42" t="n"/>
      <c r="B331" s="69" t="n"/>
      <c r="C331" s="54" t="n"/>
      <c r="D331" s="54" t="n"/>
      <c r="E331" s="59" t="n"/>
      <c r="F331" s="54" t="n"/>
      <c r="G331" s="48" t="n"/>
      <c r="H331" s="65" t="n"/>
      <c r="I331" s="54" t="n"/>
    </row>
    <row r="332">
      <c r="A332" s="42" t="n"/>
      <c r="B332" s="69" t="n"/>
      <c r="C332" s="54" t="n"/>
      <c r="D332" s="54" t="n"/>
      <c r="E332" s="59" t="n"/>
      <c r="F332" s="54" t="n"/>
      <c r="G332" s="48" t="n"/>
      <c r="H332" s="65" t="n"/>
      <c r="I332" s="54" t="n"/>
    </row>
    <row r="333">
      <c r="A333" s="42" t="n"/>
      <c r="B333" s="69" t="n"/>
      <c r="C333" s="54" t="n"/>
      <c r="D333" s="54" t="n"/>
      <c r="E333" s="59" t="n"/>
      <c r="F333" s="54" t="n"/>
      <c r="G333" s="48" t="n"/>
      <c r="H333" s="65" t="n"/>
      <c r="I333" s="54" t="n"/>
    </row>
    <row r="334">
      <c r="A334" s="42" t="n"/>
      <c r="B334" s="69" t="n"/>
      <c r="C334" s="54" t="n"/>
      <c r="D334" s="54" t="n"/>
      <c r="E334" s="59" t="n"/>
      <c r="F334" s="54" t="n"/>
      <c r="G334" s="48" t="n"/>
      <c r="H334" s="65" t="n"/>
      <c r="I334" s="54" t="n"/>
    </row>
    <row r="335">
      <c r="A335" s="42" t="n"/>
      <c r="B335" s="69" t="n"/>
      <c r="C335" s="54" t="n"/>
      <c r="D335" s="54" t="n"/>
      <c r="E335" s="59" t="n"/>
      <c r="F335" s="54" t="n"/>
      <c r="G335" s="48" t="n"/>
      <c r="H335" s="65" t="n"/>
      <c r="I335" s="54" t="n"/>
    </row>
    <row r="336">
      <c r="A336" s="42" t="n"/>
      <c r="B336" s="69" t="n"/>
      <c r="C336" s="54" t="n"/>
      <c r="D336" s="54" t="n"/>
      <c r="E336" s="59" t="n"/>
      <c r="F336" s="54" t="n"/>
      <c r="G336" s="48" t="n"/>
      <c r="H336" s="65" t="n"/>
      <c r="I336" s="54" t="n"/>
    </row>
    <row r="337">
      <c r="A337" s="42" t="n"/>
      <c r="B337" s="69" t="n"/>
      <c r="C337" s="54" t="n"/>
      <c r="D337" s="54" t="n"/>
      <c r="E337" s="59" t="n"/>
      <c r="F337" s="54" t="n"/>
      <c r="G337" s="48" t="n"/>
      <c r="H337" s="65" t="n"/>
      <c r="I337" s="54" t="n"/>
    </row>
    <row r="338">
      <c r="A338" s="42" t="n"/>
      <c r="B338" s="69" t="n"/>
      <c r="C338" s="54" t="n"/>
      <c r="D338" s="54" t="n"/>
      <c r="E338" s="59" t="n"/>
      <c r="F338" s="54" t="n"/>
      <c r="G338" s="48" t="n"/>
      <c r="H338" s="65" t="n"/>
      <c r="I338" s="54" t="n"/>
    </row>
    <row r="339">
      <c r="A339" s="42" t="n"/>
      <c r="B339" s="69" t="n"/>
      <c r="C339" s="54" t="n"/>
      <c r="D339" s="54" t="n"/>
      <c r="E339" s="59" t="n"/>
      <c r="F339" s="54" t="n"/>
      <c r="G339" s="48" t="n"/>
      <c r="H339" s="65" t="n"/>
      <c r="I339" s="54" t="n"/>
    </row>
    <row r="340">
      <c r="A340" s="42" t="n"/>
      <c r="B340" s="69" t="n"/>
      <c r="C340" s="54" t="n"/>
      <c r="D340" s="54" t="n"/>
      <c r="E340" s="59" t="n"/>
      <c r="F340" s="54" t="n"/>
      <c r="G340" s="48" t="n"/>
      <c r="H340" s="65" t="n"/>
      <c r="I340" s="54" t="n"/>
    </row>
    <row r="341">
      <c r="A341" s="42" t="n"/>
      <c r="B341" s="69" t="n"/>
      <c r="C341" s="54" t="n"/>
      <c r="D341" s="54" t="n"/>
      <c r="E341" s="59" t="n"/>
      <c r="F341" s="54" t="n"/>
      <c r="G341" s="48" t="n"/>
      <c r="H341" s="65" t="n"/>
      <c r="I341" s="54" t="n"/>
    </row>
    <row r="342">
      <c r="A342" s="42" t="n"/>
      <c r="B342" s="69" t="n"/>
      <c r="C342" s="54" t="n"/>
      <c r="D342" s="54" t="n"/>
      <c r="E342" s="59" t="n"/>
      <c r="F342" s="54" t="n"/>
      <c r="G342" s="48" t="n"/>
      <c r="H342" s="65" t="n"/>
      <c r="I342" s="54" t="n"/>
    </row>
    <row r="343">
      <c r="A343" s="42" t="n"/>
      <c r="B343" s="69" t="n"/>
      <c r="C343" s="54" t="n"/>
      <c r="D343" s="54" t="n"/>
      <c r="E343" s="59" t="n"/>
      <c r="F343" s="54" t="n"/>
      <c r="G343" s="48" t="n"/>
      <c r="H343" s="65" t="n"/>
      <c r="I343" s="54" t="n"/>
    </row>
    <row r="344">
      <c r="A344" s="42" t="n"/>
      <c r="B344" s="69" t="n"/>
      <c r="C344" s="54" t="n"/>
      <c r="D344" s="54" t="n"/>
      <c r="E344" s="54" t="n"/>
      <c r="F344" s="54" t="n"/>
      <c r="G344" s="48" t="n"/>
      <c r="H344" s="65" t="n"/>
      <c r="I344" s="54" t="n"/>
    </row>
    <row r="345">
      <c r="A345" s="42" t="n"/>
      <c r="B345" s="69" t="n"/>
      <c r="C345" s="54" t="n"/>
      <c r="D345" s="54" t="n"/>
      <c r="E345" s="59" t="n"/>
      <c r="F345" s="54" t="n"/>
      <c r="G345" s="48" t="n"/>
      <c r="H345" s="65" t="n"/>
      <c r="I345" s="54" t="n"/>
    </row>
    <row r="346">
      <c r="A346" s="42" t="n"/>
      <c r="B346" s="69" t="n"/>
      <c r="C346" s="54" t="n"/>
      <c r="D346" s="54" t="n"/>
      <c r="E346" s="59" t="n"/>
      <c r="F346" s="54" t="n"/>
      <c r="G346" s="48" t="n"/>
      <c r="H346" s="65" t="n"/>
      <c r="I346" s="54" t="n"/>
    </row>
    <row r="347">
      <c r="A347" s="42" t="n"/>
      <c r="B347" s="69" t="n"/>
      <c r="C347" s="54" t="n"/>
      <c r="D347" s="54" t="n"/>
      <c r="E347" s="59" t="n"/>
      <c r="F347" s="54" t="n"/>
      <c r="G347" s="48" t="n"/>
      <c r="H347" s="65" t="n"/>
      <c r="I347" s="54" t="n"/>
    </row>
    <row r="348">
      <c r="A348" s="42" t="n"/>
      <c r="B348" s="69" t="n"/>
      <c r="C348" s="54" t="n"/>
      <c r="D348" s="54" t="n"/>
      <c r="E348" s="59" t="n"/>
      <c r="F348" s="54" t="n"/>
      <c r="G348" s="48" t="n"/>
      <c r="H348" s="65" t="n"/>
      <c r="I348" s="54" t="n"/>
    </row>
    <row r="349">
      <c r="A349" s="42" t="n"/>
      <c r="B349" s="69" t="n"/>
      <c r="C349" s="54" t="n"/>
      <c r="D349" s="54" t="n"/>
      <c r="E349" s="59" t="n"/>
      <c r="F349" s="54" t="n"/>
      <c r="G349" s="48" t="n"/>
      <c r="H349" s="65" t="n"/>
      <c r="I349" s="54" t="n"/>
    </row>
    <row r="350">
      <c r="A350" s="42" t="n"/>
      <c r="B350" s="69" t="n"/>
      <c r="C350" s="54" t="n"/>
      <c r="D350" s="54" t="n"/>
      <c r="E350" s="59" t="n"/>
      <c r="F350" s="54" t="n"/>
      <c r="G350" s="48" t="n"/>
      <c r="H350" s="65" t="n"/>
      <c r="I350" s="54" t="n"/>
    </row>
    <row r="351">
      <c r="A351" s="42" t="n"/>
      <c r="B351" s="69" t="n"/>
      <c r="C351" s="54" t="n"/>
      <c r="D351" s="54" t="n"/>
      <c r="E351" s="59" t="n"/>
      <c r="F351" s="54" t="n"/>
      <c r="G351" s="48" t="n"/>
      <c r="H351" s="65" t="n"/>
      <c r="I351" s="54" t="n"/>
    </row>
    <row r="352">
      <c r="A352" s="42" t="n"/>
      <c r="B352" s="69" t="n"/>
      <c r="C352" s="53" t="n"/>
      <c r="D352" s="54" t="n"/>
      <c r="E352" s="59" t="n"/>
      <c r="F352" s="54" t="n"/>
      <c r="G352" s="48" t="n"/>
      <c r="H352" s="65" t="n"/>
      <c r="I352" s="54" t="n"/>
    </row>
    <row r="353">
      <c r="A353" s="42" t="n"/>
      <c r="B353" s="69" t="n"/>
      <c r="C353" s="54" t="n"/>
      <c r="D353" s="54" t="n"/>
      <c r="E353" s="59" t="n"/>
      <c r="F353" s="54" t="n"/>
      <c r="G353" s="48" t="n"/>
      <c r="H353" s="65" t="n"/>
      <c r="I353" s="54" t="n"/>
    </row>
    <row r="354">
      <c r="A354" s="42" t="n"/>
      <c r="B354" s="69" t="n"/>
      <c r="C354" s="54" t="n"/>
      <c r="D354" s="54" t="n"/>
      <c r="E354" s="59" t="n"/>
      <c r="F354" s="54" t="n"/>
      <c r="G354" s="48" t="n"/>
      <c r="H354" s="65" t="n"/>
      <c r="I354" s="54" t="n"/>
    </row>
    <row r="355">
      <c r="A355" s="42" t="n"/>
      <c r="B355" s="69" t="n"/>
      <c r="C355" s="54" t="n"/>
      <c r="D355" s="54" t="n"/>
      <c r="E355" s="59" t="n"/>
      <c r="F355" s="54" t="n"/>
      <c r="G355" s="48" t="n"/>
      <c r="H355" s="65" t="n"/>
      <c r="I355" s="54" t="n"/>
    </row>
    <row r="356">
      <c r="A356" s="42" t="n"/>
      <c r="B356" s="69" t="n"/>
      <c r="C356" s="54" t="n"/>
      <c r="D356" s="54" t="n"/>
      <c r="E356" s="59" t="n"/>
      <c r="F356" s="54" t="n"/>
      <c r="G356" s="48" t="n"/>
      <c r="H356" s="65" t="n"/>
      <c r="I356" s="54" t="n"/>
    </row>
    <row r="357">
      <c r="A357" s="42" t="n"/>
      <c r="B357" s="69" t="n"/>
      <c r="C357" s="54" t="n"/>
      <c r="D357" s="54" t="n"/>
      <c r="E357" s="59" t="n"/>
      <c r="F357" s="54" t="n"/>
      <c r="G357" s="48" t="n"/>
      <c r="H357" s="65" t="n"/>
      <c r="I357" s="54" t="n"/>
    </row>
    <row r="358">
      <c r="A358" s="42" t="n"/>
      <c r="B358" s="69" t="n"/>
      <c r="C358" s="54" t="n"/>
      <c r="D358" s="54" t="n"/>
      <c r="E358" s="59" t="n"/>
      <c r="F358" s="54" t="n"/>
      <c r="G358" s="48" t="n"/>
      <c r="H358" s="65" t="n"/>
      <c r="I358" s="54" t="n"/>
    </row>
    <row r="359">
      <c r="A359" s="42" t="n"/>
      <c r="B359" s="69" t="n"/>
      <c r="C359" s="54" t="n"/>
      <c r="D359" s="54" t="n"/>
      <c r="E359" s="59" t="n"/>
      <c r="F359" s="54" t="n"/>
      <c r="G359" s="48" t="n"/>
      <c r="H359" s="65" t="n"/>
      <c r="I359" s="54" t="n"/>
    </row>
    <row r="360">
      <c r="A360" s="42" t="n"/>
      <c r="B360" s="69" t="n"/>
      <c r="C360" s="54" t="n"/>
      <c r="D360" s="54" t="n"/>
      <c r="E360" s="59" t="n"/>
      <c r="F360" s="54" t="n"/>
      <c r="G360" s="48" t="n"/>
      <c r="H360" s="65" t="n"/>
      <c r="I360" s="54" t="n"/>
    </row>
    <row r="361">
      <c r="A361" s="42" t="n"/>
      <c r="B361" s="69" t="n"/>
      <c r="C361" s="54" t="n"/>
      <c r="D361" s="54" t="n"/>
      <c r="E361" s="59" t="n"/>
      <c r="F361" s="54" t="n"/>
      <c r="G361" s="48" t="n"/>
      <c r="H361" s="65" t="n"/>
      <c r="I361" s="54" t="n"/>
    </row>
    <row r="362">
      <c r="A362" s="42" t="n"/>
      <c r="B362" s="69" t="n"/>
      <c r="C362" s="54" t="n"/>
      <c r="D362" s="54" t="n"/>
      <c r="E362" s="59" t="n"/>
      <c r="F362" s="54" t="n"/>
      <c r="G362" s="48" t="n"/>
      <c r="H362" s="65" t="n"/>
      <c r="I362" s="54" t="n"/>
    </row>
    <row r="363">
      <c r="A363" s="42" t="n"/>
      <c r="B363" s="69" t="n"/>
      <c r="C363" s="54" t="n"/>
      <c r="D363" s="54" t="n"/>
      <c r="E363" s="59" t="n"/>
      <c r="F363" s="54" t="n"/>
      <c r="G363" s="48" t="n"/>
      <c r="H363" s="65" t="n"/>
      <c r="I363" s="54" t="n"/>
    </row>
    <row r="364">
      <c r="A364" s="42" t="n"/>
      <c r="B364" s="69" t="n"/>
      <c r="C364" s="54" t="n"/>
      <c r="D364" s="54" t="n"/>
      <c r="E364" s="59" t="n"/>
      <c r="F364" s="54" t="n"/>
      <c r="G364" s="48" t="n"/>
      <c r="H364" s="65" t="n"/>
      <c r="I364" s="54" t="n"/>
    </row>
    <row r="365">
      <c r="A365" s="42" t="n"/>
      <c r="B365" s="69" t="n"/>
      <c r="C365" s="54" t="n"/>
      <c r="D365" s="54" t="n"/>
      <c r="E365" s="59" t="n"/>
      <c r="F365" s="54" t="n"/>
      <c r="G365" s="48" t="n"/>
      <c r="H365" s="65" t="n"/>
      <c r="I365" s="54" t="n"/>
    </row>
    <row r="366">
      <c r="A366" s="42" t="n"/>
      <c r="B366" s="69" t="n"/>
      <c r="C366" s="54" t="n"/>
      <c r="D366" s="54" t="n"/>
      <c r="E366" s="59" t="n"/>
      <c r="F366" s="54" t="n"/>
      <c r="G366" s="48" t="n"/>
      <c r="H366" s="65" t="n"/>
      <c r="I366" s="54" t="n"/>
    </row>
    <row r="367">
      <c r="A367" s="42" t="n"/>
      <c r="B367" s="69" t="n"/>
      <c r="C367" s="54" t="n"/>
      <c r="D367" s="54" t="n"/>
      <c r="E367" s="59" t="n"/>
      <c r="F367" s="54" t="n"/>
      <c r="G367" s="48" t="n"/>
      <c r="H367" s="65" t="n"/>
      <c r="I367" s="54" t="n"/>
    </row>
    <row r="368">
      <c r="A368" s="42" t="n"/>
      <c r="B368" s="69" t="n"/>
      <c r="C368" s="54" t="n"/>
      <c r="D368" s="54" t="n"/>
      <c r="E368" s="59" t="n"/>
      <c r="F368" s="54" t="n"/>
      <c r="G368" s="48" t="n"/>
      <c r="H368" s="65" t="n"/>
      <c r="I368" s="54" t="n"/>
    </row>
    <row r="369">
      <c r="A369" s="42" t="n"/>
      <c r="B369" s="69" t="n"/>
      <c r="C369" s="54" t="n"/>
      <c r="D369" s="54" t="n"/>
      <c r="E369" s="54" t="n"/>
      <c r="F369" s="54" t="n"/>
      <c r="G369" s="48" t="n"/>
      <c r="H369" s="65" t="n"/>
      <c r="I369" s="54" t="n"/>
    </row>
    <row r="370">
      <c r="A370" s="42" t="n"/>
      <c r="B370" s="69" t="n"/>
      <c r="C370" s="54" t="n"/>
      <c r="D370" s="54" t="n"/>
      <c r="E370" s="59" t="n"/>
      <c r="F370" s="54" t="n"/>
      <c r="G370" s="48" t="n"/>
      <c r="H370" s="65" t="n"/>
      <c r="I370" s="54" t="n"/>
    </row>
    <row r="371">
      <c r="A371" s="42" t="n"/>
      <c r="B371" s="69" t="n"/>
      <c r="C371" s="54" t="n"/>
      <c r="D371" s="54" t="n"/>
      <c r="E371" s="59" t="n"/>
      <c r="F371" s="54" t="n"/>
      <c r="G371" s="48" t="n"/>
      <c r="H371" s="65" t="n"/>
      <c r="I371" s="54" t="n"/>
    </row>
    <row r="372">
      <c r="A372" s="42" t="n"/>
      <c r="B372" s="69" t="n"/>
      <c r="C372" s="54" t="n"/>
      <c r="D372" s="54" t="n"/>
      <c r="E372" s="59" t="n"/>
      <c r="F372" s="54" t="n"/>
      <c r="G372" s="48" t="n"/>
      <c r="H372" s="65" t="n"/>
      <c r="I372" s="54" t="n"/>
    </row>
    <row r="373">
      <c r="A373" s="42" t="n"/>
      <c r="B373" s="69" t="n"/>
      <c r="C373" s="54" t="n"/>
      <c r="D373" s="54" t="n"/>
      <c r="E373" s="59" t="n"/>
      <c r="F373" s="54" t="n"/>
      <c r="G373" s="48" t="n"/>
      <c r="H373" s="65" t="n"/>
      <c r="I373" s="54" t="n"/>
    </row>
    <row r="374">
      <c r="A374" s="42" t="n"/>
      <c r="B374" s="69" t="n"/>
      <c r="C374" s="54" t="n"/>
      <c r="D374" s="54" t="n"/>
      <c r="E374" s="59" t="n"/>
      <c r="F374" s="54" t="n"/>
      <c r="G374" s="48" t="n"/>
      <c r="H374" s="65" t="n"/>
      <c r="I374" s="54" t="n"/>
    </row>
    <row r="375">
      <c r="A375" s="42" t="n"/>
      <c r="B375" s="69" t="n"/>
      <c r="C375" s="54" t="n"/>
      <c r="D375" s="54" t="n"/>
      <c r="E375" s="59" t="n"/>
      <c r="F375" s="54" t="n"/>
      <c r="G375" s="48" t="n"/>
      <c r="H375" s="65" t="n"/>
      <c r="I375" s="54" t="n"/>
    </row>
    <row r="376">
      <c r="A376" s="42" t="n"/>
      <c r="B376" s="69" t="n"/>
      <c r="C376" s="54" t="n"/>
      <c r="D376" s="54" t="n"/>
      <c r="E376" s="59" t="n"/>
      <c r="F376" s="54" t="n"/>
      <c r="G376" s="48" t="n"/>
      <c r="H376" s="65" t="n"/>
      <c r="I376" s="54" t="n"/>
    </row>
    <row r="377">
      <c r="A377" s="42" t="n"/>
      <c r="B377" s="69" t="n"/>
      <c r="C377" s="53" t="n"/>
      <c r="D377" s="54" t="n"/>
      <c r="E377" s="59" t="n"/>
      <c r="F377" s="54" t="n"/>
      <c r="G377" s="48" t="n"/>
      <c r="H377" s="65" t="n"/>
      <c r="I377" s="54" t="n"/>
    </row>
    <row r="378">
      <c r="A378" s="42" t="n"/>
      <c r="B378" s="69" t="n"/>
      <c r="C378" s="54" t="n"/>
      <c r="D378" s="54" t="n"/>
      <c r="E378" s="59" t="n"/>
      <c r="F378" s="54" t="n"/>
      <c r="G378" s="48" t="n"/>
      <c r="H378" s="65" t="n"/>
      <c r="I378" s="54" t="n"/>
    </row>
    <row r="379">
      <c r="A379" s="42" t="n"/>
      <c r="B379" s="69" t="n"/>
      <c r="C379" s="54" t="n"/>
      <c r="D379" s="54" t="n"/>
      <c r="E379" s="59" t="n"/>
      <c r="F379" s="54" t="n"/>
      <c r="G379" s="48" t="n"/>
      <c r="H379" s="65" t="n"/>
      <c r="I379" s="54" t="n"/>
    </row>
    <row r="380">
      <c r="A380" s="42" t="n"/>
      <c r="B380" s="69" t="n"/>
      <c r="C380" s="54" t="n"/>
      <c r="D380" s="54" t="n"/>
      <c r="E380" s="59" t="n"/>
      <c r="F380" s="54" t="n"/>
      <c r="G380" s="48" t="n"/>
      <c r="H380" s="65" t="n"/>
      <c r="I380" s="54" t="n"/>
    </row>
    <row r="381">
      <c r="A381" s="42" t="n"/>
      <c r="B381" s="69" t="n"/>
      <c r="C381" s="54" t="n"/>
      <c r="D381" s="54" t="n"/>
      <c r="E381" s="59" t="n"/>
      <c r="F381" s="54" t="n"/>
      <c r="G381" s="48" t="n"/>
      <c r="H381" s="65" t="n"/>
      <c r="I381" s="54" t="n"/>
    </row>
    <row r="382">
      <c r="A382" s="42" t="n"/>
      <c r="B382" s="69" t="n"/>
      <c r="C382" s="54" t="n"/>
      <c r="D382" s="54" t="n"/>
      <c r="E382" s="59" t="n"/>
      <c r="F382" s="54" t="n"/>
      <c r="G382" s="48" t="n"/>
      <c r="H382" s="65" t="n"/>
      <c r="I382" s="54" t="n"/>
    </row>
    <row r="383">
      <c r="A383" s="42" t="n"/>
      <c r="B383" s="69" t="n"/>
      <c r="C383" s="54" t="n"/>
      <c r="D383" s="54" t="n"/>
      <c r="E383" s="59" t="n"/>
      <c r="F383" s="54" t="n"/>
      <c r="G383" s="48" t="n"/>
      <c r="H383" s="65" t="n"/>
      <c r="I383" s="54" t="n"/>
    </row>
    <row r="384">
      <c r="A384" s="42" t="n"/>
      <c r="B384" s="69" t="n"/>
      <c r="C384" s="54" t="n"/>
      <c r="D384" s="54" t="n"/>
      <c r="E384" s="59" t="n"/>
      <c r="F384" s="54" t="n"/>
      <c r="G384" s="48" t="n"/>
      <c r="H384" s="65" t="n"/>
      <c r="I384" s="54" t="n"/>
    </row>
    <row r="385">
      <c r="A385" s="42" t="n"/>
      <c r="B385" s="69" t="n"/>
      <c r="C385" s="54" t="n"/>
      <c r="D385" s="54" t="n"/>
      <c r="E385" s="59" t="n"/>
      <c r="F385" s="54" t="n"/>
      <c r="G385" s="48" t="n"/>
      <c r="H385" s="65" t="n"/>
      <c r="I385" s="54" t="n"/>
    </row>
    <row r="386">
      <c r="A386" s="42" t="n"/>
      <c r="B386" s="69" t="n"/>
      <c r="C386" s="54" t="n"/>
      <c r="D386" s="54" t="n"/>
      <c r="E386" s="59" t="n"/>
      <c r="F386" s="54" t="n"/>
      <c r="G386" s="48" t="n"/>
      <c r="H386" s="65" t="n"/>
      <c r="I386" s="54" t="n"/>
    </row>
    <row r="387">
      <c r="A387" s="42" t="n"/>
      <c r="B387" s="69" t="n"/>
      <c r="C387" s="54" t="n"/>
      <c r="D387" s="54" t="n"/>
      <c r="E387" s="59" t="n"/>
      <c r="F387" s="54" t="n"/>
      <c r="G387" s="48" t="n"/>
      <c r="H387" s="65" t="n"/>
      <c r="I387" s="54" t="n"/>
    </row>
    <row r="388">
      <c r="A388" s="42" t="n"/>
      <c r="B388" s="69" t="n"/>
      <c r="C388" s="54" t="n"/>
      <c r="D388" s="54" t="n"/>
      <c r="E388" s="59" t="n"/>
      <c r="F388" s="54" t="n"/>
      <c r="G388" s="48" t="n"/>
      <c r="H388" s="65" t="n"/>
      <c r="I388" s="54" t="n"/>
    </row>
    <row r="389">
      <c r="A389" s="42" t="n"/>
      <c r="B389" s="69" t="n"/>
      <c r="C389" s="54" t="n"/>
      <c r="D389" s="54" t="n"/>
      <c r="E389" s="59" t="n"/>
      <c r="F389" s="54" t="n"/>
      <c r="G389" s="48" t="n"/>
      <c r="H389" s="65" t="n"/>
      <c r="I389" s="54" t="n"/>
    </row>
    <row r="390">
      <c r="A390" s="42" t="n"/>
      <c r="B390" s="69" t="n"/>
      <c r="C390" s="54" t="n"/>
      <c r="D390" s="54" t="n"/>
      <c r="E390" s="59" t="n"/>
      <c r="F390" s="54" t="n"/>
      <c r="G390" s="48" t="n"/>
      <c r="H390" s="65" t="n"/>
      <c r="I390" s="54" t="n"/>
    </row>
    <row r="391">
      <c r="A391" s="42" t="n"/>
      <c r="B391" s="69" t="n"/>
      <c r="C391" s="54" t="n"/>
      <c r="D391" s="54" t="n"/>
      <c r="E391" s="59" t="n"/>
      <c r="F391" s="54" t="n"/>
      <c r="G391" s="48" t="n"/>
      <c r="H391" s="65" t="n"/>
      <c r="I391" s="54" t="n"/>
    </row>
    <row r="392">
      <c r="A392" s="42" t="n"/>
      <c r="B392" s="69" t="n"/>
      <c r="C392" s="54" t="n"/>
      <c r="D392" s="54" t="n"/>
      <c r="E392" s="59" t="n"/>
      <c r="F392" s="54" t="n"/>
      <c r="G392" s="48" t="n"/>
      <c r="H392" s="65" t="n"/>
      <c r="I392" s="54" t="n"/>
    </row>
    <row r="393">
      <c r="A393" s="42" t="n"/>
      <c r="B393" s="69" t="n"/>
      <c r="C393" s="54" t="n"/>
      <c r="D393" s="54" t="n"/>
      <c r="E393" s="59" t="n"/>
      <c r="F393" s="54" t="n"/>
      <c r="G393" s="48" t="n"/>
      <c r="H393" s="65" t="n"/>
      <c r="I393" s="54" t="n"/>
    </row>
    <row r="394">
      <c r="A394" s="42" t="n"/>
      <c r="B394" s="69" t="n"/>
      <c r="C394" s="54" t="n"/>
      <c r="D394" s="54" t="n"/>
      <c r="E394" s="54" t="n"/>
      <c r="F394" s="54" t="n"/>
      <c r="G394" s="48" t="n"/>
      <c r="H394" s="65" t="n"/>
      <c r="I394" s="54" t="n"/>
    </row>
    <row r="395">
      <c r="A395" s="42" t="n"/>
      <c r="B395" s="69" t="n"/>
      <c r="C395" s="54" t="n"/>
      <c r="D395" s="54" t="n"/>
      <c r="E395" s="59" t="n"/>
      <c r="F395" s="54" t="n"/>
      <c r="G395" s="48" t="n"/>
      <c r="H395" s="65" t="n"/>
      <c r="I395" s="54" t="n"/>
    </row>
    <row r="396">
      <c r="A396" s="42" t="n"/>
      <c r="B396" s="69" t="n"/>
      <c r="C396" s="54" t="n"/>
      <c r="D396" s="54" t="n"/>
      <c r="E396" s="59" t="n"/>
      <c r="F396" s="54" t="n"/>
      <c r="G396" s="48" t="n"/>
      <c r="H396" s="65" t="n"/>
      <c r="I396" s="54" t="n"/>
    </row>
    <row r="397">
      <c r="A397" s="42" t="n"/>
      <c r="B397" s="69" t="n"/>
      <c r="C397" s="54" t="n"/>
      <c r="D397" s="54" t="n"/>
      <c r="E397" s="59" t="n"/>
      <c r="F397" s="54" t="n"/>
      <c r="G397" s="48" t="n"/>
      <c r="H397" s="65" t="n"/>
      <c r="I397" s="54" t="n"/>
    </row>
    <row r="398">
      <c r="A398" s="42" t="n"/>
      <c r="B398" s="69" t="n"/>
      <c r="C398" s="54" t="n"/>
      <c r="D398" s="54" t="n"/>
      <c r="E398" s="59" t="n"/>
      <c r="F398" s="54" t="n"/>
      <c r="G398" s="48" t="n"/>
      <c r="H398" s="65" t="n"/>
      <c r="I398" s="54" t="n"/>
    </row>
    <row r="399">
      <c r="A399" s="42" t="n"/>
      <c r="B399" s="69" t="n"/>
      <c r="C399" s="54" t="n"/>
      <c r="D399" s="54" t="n"/>
      <c r="E399" s="59" t="n"/>
      <c r="F399" s="54" t="n"/>
      <c r="G399" s="48" t="n"/>
      <c r="H399" s="65" t="n"/>
      <c r="I399" s="54" t="n"/>
    </row>
    <row r="400">
      <c r="A400" s="42" t="n"/>
      <c r="B400" s="69" t="n"/>
      <c r="C400" s="54" t="n"/>
      <c r="D400" s="54" t="n"/>
      <c r="E400" s="59" t="n"/>
      <c r="F400" s="54" t="n"/>
      <c r="G400" s="48" t="n"/>
      <c r="H400" s="65" t="n"/>
      <c r="I400" s="54" t="n"/>
    </row>
    <row r="401">
      <c r="A401" s="42" t="n"/>
      <c r="B401" s="69" t="n"/>
      <c r="C401" s="54" t="n"/>
      <c r="D401" s="54" t="n"/>
      <c r="E401" s="59" t="n"/>
      <c r="F401" s="54" t="n"/>
      <c r="G401" s="48" t="n"/>
      <c r="H401" s="65" t="n"/>
      <c r="I401" s="54" t="n"/>
    </row>
    <row r="402">
      <c r="A402" s="42" t="n"/>
      <c r="B402" s="69" t="n"/>
      <c r="C402" s="53" t="n"/>
      <c r="D402" s="54" t="n"/>
      <c r="E402" s="59" t="n"/>
      <c r="F402" s="54" t="n"/>
      <c r="G402" s="48" t="n"/>
      <c r="H402" s="65" t="n"/>
      <c r="I402" s="54" t="n"/>
    </row>
    <row r="403">
      <c r="A403" s="42" t="n"/>
      <c r="B403" s="69" t="n"/>
      <c r="C403" s="54" t="n"/>
      <c r="D403" s="54" t="n"/>
      <c r="E403" s="59" t="n"/>
      <c r="F403" s="54" t="n"/>
      <c r="G403" s="48" t="n"/>
      <c r="H403" s="65" t="n"/>
      <c r="I403" s="54" t="n"/>
    </row>
    <row r="404">
      <c r="A404" s="42" t="n"/>
      <c r="B404" s="69" t="n"/>
      <c r="C404" s="54" t="n"/>
      <c r="D404" s="54" t="n"/>
      <c r="E404" s="59" t="n"/>
      <c r="F404" s="54" t="n"/>
      <c r="G404" s="48" t="n"/>
      <c r="H404" s="65" t="n"/>
      <c r="I404" s="54" t="n"/>
    </row>
    <row r="405">
      <c r="A405" s="42" t="n"/>
      <c r="B405" s="69" t="n"/>
      <c r="C405" s="54" t="n"/>
      <c r="D405" s="54" t="n"/>
      <c r="E405" s="59" t="n"/>
      <c r="F405" s="54" t="n"/>
      <c r="G405" s="48" t="n"/>
      <c r="H405" s="65" t="n"/>
      <c r="I405" s="54" t="n"/>
    </row>
    <row r="406">
      <c r="A406" s="42" t="n"/>
      <c r="B406" s="69" t="n"/>
      <c r="C406" s="54" t="n"/>
      <c r="D406" s="54" t="n"/>
      <c r="E406" s="59" t="n"/>
      <c r="F406" s="54" t="n"/>
      <c r="G406" s="48" t="n"/>
      <c r="H406" s="65" t="n"/>
      <c r="I406" s="54" t="n"/>
    </row>
    <row r="407">
      <c r="A407" s="42" t="n"/>
      <c r="B407" s="69" t="n"/>
      <c r="C407" s="54" t="n"/>
      <c r="D407" s="54" t="n"/>
      <c r="E407" s="59" t="n"/>
      <c r="F407" s="54" t="n"/>
      <c r="G407" s="48" t="n"/>
      <c r="H407" s="65" t="n"/>
      <c r="I407" s="54" t="n"/>
    </row>
    <row r="408">
      <c r="A408" s="42" t="n"/>
      <c r="B408" s="69" t="n"/>
      <c r="C408" s="54" t="n"/>
      <c r="D408" s="54" t="n"/>
      <c r="E408" s="59" t="n"/>
      <c r="F408" s="54" t="n"/>
      <c r="G408" s="48" t="n"/>
      <c r="H408" s="65" t="n"/>
      <c r="I408" s="54" t="n"/>
    </row>
    <row r="409">
      <c r="A409" s="42" t="n"/>
      <c r="B409" s="69" t="n"/>
      <c r="C409" s="54" t="n"/>
      <c r="D409" s="54" t="n"/>
      <c r="E409" s="59" t="n"/>
      <c r="F409" s="54" t="n"/>
      <c r="G409" s="48" t="n"/>
      <c r="H409" s="65" t="n"/>
      <c r="I409" s="54" t="n"/>
    </row>
    <row r="410">
      <c r="A410" s="42" t="n"/>
      <c r="B410" s="69" t="n"/>
      <c r="C410" s="54" t="n"/>
      <c r="D410" s="54" t="n"/>
      <c r="E410" s="59" t="n"/>
      <c r="F410" s="54" t="n"/>
      <c r="G410" s="48" t="n"/>
      <c r="H410" s="65" t="n"/>
      <c r="I410" s="54" t="n"/>
    </row>
    <row r="411">
      <c r="A411" s="42" t="n"/>
      <c r="B411" s="69" t="n"/>
      <c r="C411" s="54" t="n"/>
      <c r="D411" s="54" t="n"/>
      <c r="E411" s="59" t="n"/>
      <c r="F411" s="54" t="n"/>
      <c r="G411" s="48" t="n"/>
      <c r="H411" s="65" t="n"/>
      <c r="I411" s="54" t="n"/>
    </row>
    <row r="412">
      <c r="A412" s="42" t="n"/>
      <c r="B412" s="69" t="n"/>
      <c r="C412" s="54" t="n"/>
      <c r="D412" s="54" t="n"/>
      <c r="E412" s="59" t="n"/>
      <c r="F412" s="54" t="n"/>
      <c r="G412" s="48" t="n"/>
      <c r="H412" s="65" t="n"/>
      <c r="I412" s="54" t="n"/>
    </row>
    <row r="413">
      <c r="A413" s="42" t="n"/>
      <c r="B413" s="69" t="n"/>
      <c r="C413" s="54" t="n"/>
      <c r="D413" s="54" t="n"/>
      <c r="E413" s="59" t="n"/>
      <c r="F413" s="54" t="n"/>
      <c r="G413" s="48" t="n"/>
      <c r="H413" s="65" t="n"/>
      <c r="I413" s="54" t="n"/>
    </row>
    <row r="414">
      <c r="A414" s="42" t="n"/>
      <c r="B414" s="69" t="n"/>
      <c r="C414" s="54" t="n"/>
      <c r="D414" s="54" t="n"/>
      <c r="E414" s="59" t="n"/>
      <c r="F414" s="54" t="n"/>
      <c r="G414" s="48" t="n"/>
      <c r="H414" s="65" t="n"/>
      <c r="I414" s="54" t="n"/>
    </row>
    <row r="415">
      <c r="A415" s="42" t="n"/>
      <c r="B415" s="69" t="n"/>
      <c r="C415" s="54" t="n"/>
      <c r="D415" s="54" t="n"/>
      <c r="E415" s="59" t="n"/>
      <c r="F415" s="54" t="n"/>
      <c r="G415" s="48" t="n"/>
      <c r="H415" s="65" t="n"/>
      <c r="I415" s="54" t="n"/>
    </row>
    <row r="416">
      <c r="A416" s="42" t="n"/>
      <c r="B416" s="69" t="n"/>
      <c r="C416" s="54" t="n"/>
      <c r="D416" s="54" t="n"/>
      <c r="E416" s="59" t="n"/>
      <c r="F416" s="54" t="n"/>
      <c r="G416" s="48" t="n"/>
      <c r="H416" s="65" t="n"/>
      <c r="I416" s="54" t="n"/>
    </row>
    <row r="417">
      <c r="A417" s="42" t="n"/>
      <c r="B417" s="69" t="n"/>
      <c r="C417" s="54" t="n"/>
      <c r="D417" s="54" t="n"/>
      <c r="E417" s="59" t="n"/>
      <c r="F417" s="54" t="n"/>
      <c r="G417" s="48" t="n"/>
      <c r="H417" s="65" t="n"/>
      <c r="I417" s="54" t="n"/>
    </row>
    <row r="418">
      <c r="A418" s="42" t="n"/>
      <c r="B418" s="69" t="n"/>
      <c r="C418" s="54" t="n"/>
      <c r="D418" s="54" t="n"/>
      <c r="E418" s="59" t="n"/>
      <c r="F418" s="54" t="n"/>
      <c r="G418" s="48" t="n"/>
      <c r="H418" s="65" t="n"/>
      <c r="I418" s="54" t="n"/>
    </row>
    <row r="419">
      <c r="A419" s="42" t="n"/>
      <c r="B419" s="69" t="n"/>
      <c r="C419" s="54" t="n"/>
      <c r="D419" s="54" t="n"/>
      <c r="E419" s="54" t="n"/>
      <c r="F419" s="54" t="n"/>
      <c r="G419" s="48" t="n"/>
      <c r="H419" s="65" t="n"/>
      <c r="I419" s="54" t="n"/>
    </row>
    <row r="420">
      <c r="A420" s="42" t="n"/>
      <c r="B420" s="69" t="n"/>
      <c r="C420" s="54" t="n"/>
      <c r="D420" s="54" t="n"/>
      <c r="E420" s="59" t="n"/>
      <c r="F420" s="54" t="n"/>
      <c r="G420" s="48" t="n"/>
      <c r="H420" s="65" t="n"/>
      <c r="I420" s="54" t="n"/>
    </row>
    <row r="421">
      <c r="A421" s="42" t="n"/>
      <c r="B421" s="69" t="n"/>
      <c r="C421" s="54" t="n"/>
      <c r="D421" s="54" t="n"/>
      <c r="E421" s="59" t="n"/>
      <c r="F421" s="54" t="n"/>
      <c r="G421" s="48" t="n"/>
      <c r="H421" s="65" t="n"/>
      <c r="I421" s="54" t="n"/>
    </row>
    <row r="422">
      <c r="A422" s="42" t="n"/>
      <c r="B422" s="69" t="n"/>
      <c r="C422" s="54" t="n"/>
      <c r="D422" s="54" t="n"/>
      <c r="E422" s="59" t="n"/>
      <c r="F422" s="54" t="n"/>
      <c r="G422" s="48" t="n"/>
      <c r="H422" s="65" t="n"/>
      <c r="I422" s="54" t="n"/>
    </row>
    <row r="423">
      <c r="A423" s="42" t="n"/>
      <c r="B423" s="69" t="n"/>
      <c r="C423" s="54" t="n"/>
      <c r="D423" s="54" t="n"/>
      <c r="E423" s="59" t="n"/>
      <c r="F423" s="54" t="n"/>
      <c r="G423" s="48" t="n"/>
      <c r="H423" s="65" t="n"/>
      <c r="I423" s="54" t="n"/>
    </row>
    <row r="424">
      <c r="A424" s="42" t="n"/>
      <c r="B424" s="69" t="n"/>
      <c r="C424" s="54" t="n"/>
      <c r="D424" s="54" t="n"/>
      <c r="E424" s="59" t="n"/>
      <c r="F424" s="54" t="n"/>
      <c r="G424" s="48" t="n"/>
      <c r="H424" s="65" t="n"/>
      <c r="I424" s="54" t="n"/>
    </row>
    <row r="425">
      <c r="A425" s="42" t="n"/>
      <c r="B425" s="69" t="n"/>
      <c r="C425" s="54" t="n"/>
      <c r="D425" s="54" t="n"/>
      <c r="E425" s="59" t="n"/>
      <c r="F425" s="54" t="n"/>
      <c r="G425" s="48" t="n"/>
      <c r="H425" s="65" t="n"/>
      <c r="I425" s="54" t="n"/>
    </row>
    <row r="426">
      <c r="A426" s="42" t="n"/>
      <c r="B426" s="69" t="n"/>
      <c r="C426" s="54" t="n"/>
      <c r="D426" s="54" t="n"/>
      <c r="E426" s="59" t="n"/>
      <c r="F426" s="54" t="n"/>
      <c r="G426" s="48" t="n"/>
      <c r="H426" s="65" t="n"/>
      <c r="I426" s="54" t="n"/>
    </row>
    <row r="427">
      <c r="A427" s="42" t="n"/>
      <c r="B427" s="69" t="n"/>
      <c r="C427" s="53" t="n"/>
      <c r="D427" s="54" t="n"/>
      <c r="E427" s="59" t="n"/>
      <c r="F427" s="54" t="n"/>
      <c r="G427" s="48" t="n"/>
      <c r="H427" s="65" t="n"/>
      <c r="I427" s="54" t="n"/>
    </row>
    <row r="428">
      <c r="A428" s="42" t="n"/>
      <c r="B428" s="69" t="n"/>
      <c r="C428" s="54" t="n"/>
      <c r="D428" s="54" t="n"/>
      <c r="E428" s="59" t="n"/>
      <c r="F428" s="54" t="n"/>
      <c r="G428" s="48" t="n"/>
      <c r="H428" s="65" t="n"/>
      <c r="I428" s="54" t="n"/>
    </row>
    <row r="429">
      <c r="A429" s="42" t="n"/>
      <c r="B429" s="69" t="n"/>
      <c r="C429" s="54" t="n"/>
      <c r="D429" s="54" t="n"/>
      <c r="E429" s="59" t="n"/>
      <c r="F429" s="54" t="n"/>
      <c r="G429" s="48" t="n"/>
      <c r="H429" s="65" t="n"/>
      <c r="I429" s="54" t="n"/>
    </row>
    <row r="430">
      <c r="A430" s="42" t="n"/>
      <c r="B430" s="69" t="n"/>
      <c r="C430" s="54" t="n"/>
      <c r="D430" s="54" t="n"/>
      <c r="E430" s="59" t="n"/>
      <c r="F430" s="54" t="n"/>
      <c r="G430" s="48" t="n"/>
      <c r="H430" s="65" t="n"/>
      <c r="I430" s="54" t="n"/>
    </row>
    <row r="431">
      <c r="A431" s="42" t="n"/>
      <c r="B431" s="69" t="n"/>
      <c r="C431" s="54" t="n"/>
      <c r="D431" s="54" t="n"/>
      <c r="E431" s="59" t="n"/>
      <c r="F431" s="54" t="n"/>
      <c r="G431" s="48" t="n"/>
      <c r="H431" s="65" t="n"/>
      <c r="I431" s="54" t="n"/>
    </row>
    <row r="432">
      <c r="A432" s="42" t="n"/>
      <c r="B432" s="69" t="n"/>
      <c r="C432" s="54" t="n"/>
      <c r="D432" s="54" t="n"/>
      <c r="E432" s="59" t="n"/>
      <c r="F432" s="54" t="n"/>
      <c r="G432" s="48" t="n"/>
      <c r="H432" s="65" t="n"/>
      <c r="I432" s="54" t="n"/>
    </row>
    <row r="433">
      <c r="A433" s="42" t="n"/>
      <c r="B433" s="69" t="n"/>
      <c r="C433" s="54" t="n"/>
      <c r="D433" s="54" t="n"/>
      <c r="E433" s="59" t="n"/>
      <c r="F433" s="54" t="n"/>
      <c r="G433" s="48" t="n"/>
      <c r="H433" s="65" t="n"/>
      <c r="I433" s="54" t="n"/>
    </row>
    <row r="434">
      <c r="A434" s="42" t="n"/>
      <c r="B434" s="69" t="n"/>
      <c r="C434" s="54" t="n"/>
      <c r="D434" s="54" t="n"/>
      <c r="E434" s="59" t="n"/>
      <c r="F434" s="54" t="n"/>
      <c r="G434" s="48" t="n"/>
      <c r="H434" s="65" t="n"/>
      <c r="I434" s="54" t="n"/>
    </row>
    <row r="435">
      <c r="A435" s="42" t="n"/>
      <c r="B435" s="69" t="n"/>
      <c r="C435" s="54" t="n"/>
      <c r="D435" s="54" t="n"/>
      <c r="E435" s="59" t="n"/>
      <c r="F435" s="54" t="n"/>
      <c r="G435" s="48" t="n"/>
      <c r="H435" s="65" t="n"/>
      <c r="I435" s="54" t="n"/>
    </row>
    <row r="436">
      <c r="A436" s="42" t="n"/>
      <c r="B436" s="69" t="n"/>
      <c r="C436" s="54" t="n"/>
      <c r="D436" s="54" t="n"/>
      <c r="E436" s="59" t="n"/>
      <c r="F436" s="54" t="n"/>
      <c r="G436" s="48" t="n"/>
      <c r="H436" s="65" t="n"/>
      <c r="I436" s="54" t="n"/>
    </row>
    <row r="437">
      <c r="A437" s="42" t="n"/>
      <c r="B437" s="69" t="n"/>
      <c r="C437" s="54" t="n"/>
      <c r="D437" s="54" t="n"/>
      <c r="E437" s="59" t="n"/>
      <c r="F437" s="54" t="n"/>
      <c r="G437" s="48" t="n"/>
      <c r="H437" s="65" t="n"/>
      <c r="I437" s="54" t="n"/>
    </row>
    <row r="438">
      <c r="A438" s="42" t="n"/>
      <c r="B438" s="69" t="n"/>
      <c r="C438" s="54" t="n"/>
      <c r="D438" s="54" t="n"/>
      <c r="E438" s="59" t="n"/>
      <c r="F438" s="54" t="n"/>
      <c r="G438" s="48" t="n"/>
      <c r="H438" s="65" t="n"/>
      <c r="I438" s="54" t="n"/>
    </row>
    <row r="439">
      <c r="A439" s="42" t="n"/>
      <c r="B439" s="69" t="n"/>
      <c r="C439" s="54" t="n"/>
      <c r="D439" s="54" t="n"/>
      <c r="E439" s="59" t="n"/>
      <c r="F439" s="54" t="n"/>
      <c r="G439" s="48" t="n"/>
      <c r="H439" s="65" t="n"/>
      <c r="I439" s="54" t="n"/>
    </row>
    <row r="440">
      <c r="A440" s="42" t="n"/>
      <c r="B440" s="69" t="n"/>
      <c r="C440" s="54" t="n"/>
      <c r="D440" s="54" t="n"/>
      <c r="E440" s="59" t="n"/>
      <c r="F440" s="54" t="n"/>
      <c r="G440" s="48" t="n"/>
      <c r="H440" s="65" t="n"/>
      <c r="I440" s="54" t="n"/>
    </row>
    <row r="441">
      <c r="A441" s="42" t="n"/>
      <c r="B441" s="69" t="n"/>
      <c r="C441" s="54" t="n"/>
      <c r="D441" s="54" t="n"/>
      <c r="E441" s="59" t="n"/>
      <c r="F441" s="54" t="n"/>
      <c r="G441" s="48" t="n"/>
      <c r="H441" s="65" t="n"/>
      <c r="I441" s="54" t="n"/>
    </row>
    <row r="442">
      <c r="A442" s="42" t="n"/>
      <c r="B442" s="69" t="n"/>
      <c r="C442" s="54" t="n"/>
      <c r="D442" s="54" t="n"/>
      <c r="E442" s="59" t="n"/>
      <c r="F442" s="54" t="n"/>
      <c r="G442" s="48" t="n"/>
      <c r="H442" s="65" t="n"/>
      <c r="I442" s="54" t="n"/>
    </row>
    <row r="443">
      <c r="A443" s="42" t="n"/>
      <c r="B443" s="69" t="n"/>
      <c r="C443" s="54" t="n"/>
      <c r="D443" s="54" t="n"/>
      <c r="E443" s="59" t="n"/>
      <c r="F443" s="54" t="n"/>
      <c r="G443" s="48" t="n"/>
      <c r="H443" s="65" t="n"/>
      <c r="I443" s="54" t="n"/>
    </row>
    <row r="444">
      <c r="A444" s="42" t="n"/>
      <c r="B444" s="69" t="n"/>
      <c r="C444" s="54" t="n"/>
      <c r="D444" s="54" t="n"/>
      <c r="E444" s="54" t="n"/>
      <c r="F444" s="54" t="n"/>
      <c r="G444" s="48" t="n"/>
      <c r="H444" s="65" t="n"/>
      <c r="I444" s="54" t="n"/>
    </row>
    <row r="445">
      <c r="A445" s="42" t="n"/>
      <c r="B445" s="69" t="n"/>
      <c r="C445" s="54" t="n"/>
      <c r="D445" s="54" t="n"/>
      <c r="E445" s="59" t="n"/>
      <c r="F445" s="54" t="n"/>
      <c r="G445" s="48" t="n"/>
      <c r="H445" s="65" t="n"/>
      <c r="I445" s="54" t="n"/>
    </row>
    <row r="446">
      <c r="A446" s="42" t="n"/>
      <c r="B446" s="69" t="n"/>
      <c r="C446" s="54" t="n"/>
      <c r="D446" s="54" t="n"/>
      <c r="E446" s="59" t="n"/>
      <c r="F446" s="54" t="n"/>
      <c r="G446" s="48" t="n"/>
      <c r="H446" s="65" t="n"/>
      <c r="I446" s="54" t="n"/>
    </row>
    <row r="447">
      <c r="A447" s="42" t="n"/>
      <c r="B447" s="69" t="n"/>
      <c r="C447" s="54" t="n"/>
      <c r="D447" s="54" t="n"/>
      <c r="E447" s="59" t="n"/>
      <c r="F447" s="54" t="n"/>
      <c r="G447" s="48" t="n"/>
      <c r="H447" s="65" t="n"/>
      <c r="I447" s="54" t="n"/>
    </row>
    <row r="448">
      <c r="A448" s="42" t="n"/>
      <c r="B448" s="69" t="n"/>
      <c r="C448" s="54" t="n"/>
      <c r="D448" s="54" t="n"/>
      <c r="E448" s="59" t="n"/>
      <c r="F448" s="54" t="n"/>
      <c r="G448" s="48" t="n"/>
      <c r="H448" s="65" t="n"/>
      <c r="I448" s="54" t="n"/>
    </row>
    <row r="449">
      <c r="A449" s="42" t="n"/>
      <c r="B449" s="69" t="n"/>
      <c r="C449" s="54" t="n"/>
      <c r="D449" s="54" t="n"/>
      <c r="E449" s="59" t="n"/>
      <c r="F449" s="54" t="n"/>
      <c r="G449" s="48" t="n"/>
      <c r="H449" s="65" t="n"/>
      <c r="I449" s="54" t="n"/>
    </row>
    <row r="450">
      <c r="A450" s="42" t="n"/>
      <c r="B450" s="69" t="n"/>
      <c r="C450" s="54" t="n"/>
      <c r="D450" s="54" t="n"/>
      <c r="E450" s="59" t="n"/>
      <c r="F450" s="54" t="n"/>
      <c r="G450" s="48" t="n"/>
      <c r="H450" s="65" t="n"/>
      <c r="I450" s="54" t="n"/>
    </row>
    <row r="451">
      <c r="A451" s="42" t="n"/>
      <c r="B451" s="69" t="n"/>
      <c r="C451" s="54" t="n"/>
      <c r="D451" s="54" t="n"/>
      <c r="E451" s="59" t="n"/>
      <c r="F451" s="54" t="n"/>
      <c r="G451" s="48" t="n"/>
      <c r="H451" s="65" t="n"/>
      <c r="I451" s="54" t="n"/>
    </row>
    <row r="452">
      <c r="A452" s="42" t="n"/>
      <c r="B452" s="69" t="n"/>
      <c r="C452" s="53" t="n"/>
      <c r="D452" s="54" t="n"/>
      <c r="E452" s="59" t="n"/>
      <c r="F452" s="54" t="n"/>
      <c r="G452" s="48" t="n"/>
      <c r="H452" s="65" t="n"/>
      <c r="I452" s="54" t="n"/>
    </row>
    <row r="453">
      <c r="A453" s="42" t="n"/>
      <c r="B453" s="69" t="n"/>
      <c r="C453" s="54" t="n"/>
      <c r="D453" s="54" t="n"/>
      <c r="E453" s="59" t="n"/>
      <c r="F453" s="54" t="n"/>
      <c r="G453" s="48" t="n"/>
      <c r="H453" s="65" t="n"/>
      <c r="I453" s="54" t="n"/>
    </row>
    <row r="454">
      <c r="A454" s="42" t="n"/>
      <c r="B454" s="69" t="n"/>
      <c r="C454" s="54" t="n"/>
      <c r="D454" s="54" t="n"/>
      <c r="E454" s="59" t="n"/>
      <c r="F454" s="54" t="n"/>
      <c r="G454" s="48" t="n"/>
      <c r="H454" s="65" t="n"/>
      <c r="I454" s="54" t="n"/>
    </row>
    <row r="455">
      <c r="A455" s="42" t="n"/>
      <c r="B455" s="69" t="n"/>
      <c r="C455" s="54" t="n"/>
      <c r="D455" s="54" t="n"/>
      <c r="E455" s="59" t="n"/>
      <c r="F455" s="54" t="n"/>
      <c r="G455" s="48" t="n"/>
      <c r="H455" s="65" t="n"/>
      <c r="I455" s="54" t="n"/>
    </row>
    <row r="456">
      <c r="A456" s="42" t="n"/>
      <c r="B456" s="69" t="n"/>
      <c r="C456" s="54" t="n"/>
      <c r="D456" s="54" t="n"/>
      <c r="E456" s="59" t="n"/>
      <c r="F456" s="54" t="n"/>
      <c r="G456" s="48" t="n"/>
      <c r="H456" s="65" t="n"/>
      <c r="I456" s="54" t="n"/>
    </row>
    <row r="457">
      <c r="A457" s="42" t="n"/>
      <c r="B457" s="69" t="n"/>
      <c r="C457" s="54" t="n"/>
      <c r="D457" s="54" t="n"/>
      <c r="E457" s="59" t="n"/>
      <c r="F457" s="54" t="n"/>
      <c r="G457" s="48" t="n"/>
      <c r="H457" s="65" t="n"/>
      <c r="I457" s="54" t="n"/>
    </row>
    <row r="458">
      <c r="A458" s="42" t="n"/>
      <c r="B458" s="69" t="n"/>
      <c r="C458" s="54" t="n"/>
      <c r="D458" s="54" t="n"/>
      <c r="E458" s="59" t="n"/>
      <c r="F458" s="54" t="n"/>
      <c r="G458" s="48" t="n"/>
      <c r="H458" s="65" t="n"/>
      <c r="I458" s="54" t="n"/>
    </row>
    <row r="459">
      <c r="A459" s="42" t="n"/>
      <c r="B459" s="69" t="n"/>
      <c r="C459" s="54" t="n"/>
      <c r="D459" s="54" t="n"/>
      <c r="E459" s="59" t="n"/>
      <c r="F459" s="54" t="n"/>
      <c r="G459" s="48" t="n"/>
      <c r="H459" s="65" t="n"/>
      <c r="I459" s="54" t="n"/>
    </row>
    <row r="460">
      <c r="A460" s="42" t="n"/>
      <c r="B460" s="69" t="n"/>
      <c r="C460" s="54" t="n"/>
      <c r="D460" s="54" t="n"/>
      <c r="E460" s="59" t="n"/>
      <c r="F460" s="54" t="n"/>
      <c r="G460" s="48" t="n"/>
      <c r="H460" s="65" t="n"/>
      <c r="I460" s="54" t="n"/>
    </row>
    <row r="461">
      <c r="A461" s="42" t="n"/>
      <c r="B461" s="69" t="n"/>
      <c r="C461" s="54" t="n"/>
      <c r="D461" s="54" t="n"/>
      <c r="E461" s="59" t="n"/>
      <c r="F461" s="54" t="n"/>
      <c r="G461" s="48" t="n"/>
      <c r="H461" s="65" t="n"/>
      <c r="I461" s="54" t="n"/>
    </row>
    <row r="462">
      <c r="A462" s="42" t="n"/>
      <c r="B462" s="69" t="n"/>
      <c r="C462" s="54" t="n"/>
      <c r="D462" s="54" t="n"/>
      <c r="E462" s="59" t="n"/>
      <c r="F462" s="54" t="n"/>
      <c r="G462" s="48" t="n"/>
      <c r="H462" s="65" t="n"/>
      <c r="I462" s="54" t="n"/>
    </row>
    <row r="463">
      <c r="A463" s="42" t="n"/>
      <c r="B463" s="69" t="n"/>
      <c r="C463" s="54" t="n"/>
      <c r="D463" s="54" t="n"/>
      <c r="E463" s="59" t="n"/>
      <c r="F463" s="54" t="n"/>
      <c r="G463" s="48" t="n"/>
      <c r="H463" s="65" t="n"/>
      <c r="I463" s="54" t="n"/>
    </row>
    <row r="464">
      <c r="A464" s="42" t="n"/>
      <c r="B464" s="69" t="n"/>
      <c r="C464" s="54" t="n"/>
      <c r="D464" s="54" t="n"/>
      <c r="E464" s="59" t="n"/>
      <c r="F464" s="54" t="n"/>
      <c r="G464" s="48" t="n"/>
      <c r="H464" s="65" t="n"/>
      <c r="I464" s="54" t="n"/>
    </row>
    <row r="465">
      <c r="A465" s="42" t="n"/>
      <c r="B465" s="69" t="n"/>
      <c r="C465" s="54" t="n"/>
      <c r="D465" s="54" t="n"/>
      <c r="E465" s="59" t="n"/>
      <c r="F465" s="54" t="n"/>
      <c r="G465" s="48" t="n"/>
      <c r="H465" s="65" t="n"/>
      <c r="I465" s="54" t="n"/>
    </row>
    <row r="466">
      <c r="A466" s="42" t="n"/>
      <c r="B466" s="69" t="n"/>
      <c r="C466" s="54" t="n"/>
      <c r="D466" s="54" t="n"/>
      <c r="E466" s="59" t="n"/>
      <c r="F466" s="54" t="n"/>
      <c r="G466" s="48" t="n"/>
      <c r="H466" s="65" t="n"/>
      <c r="I466" s="54" t="n"/>
    </row>
    <row r="467">
      <c r="A467" s="42" t="n"/>
      <c r="B467" s="69" t="n"/>
      <c r="C467" s="54" t="n"/>
      <c r="D467" s="54" t="n"/>
      <c r="E467" s="59" t="n"/>
      <c r="F467" s="54" t="n"/>
      <c r="G467" s="48" t="n"/>
      <c r="H467" s="65" t="n"/>
      <c r="I467" s="54" t="n"/>
    </row>
    <row r="468">
      <c r="A468" s="42" t="n"/>
      <c r="B468" s="69" t="n"/>
      <c r="C468" s="54" t="n"/>
      <c r="D468" s="54" t="n"/>
      <c r="E468" s="59" t="n"/>
      <c r="F468" s="54" t="n"/>
      <c r="G468" s="48" t="n"/>
      <c r="H468" s="65" t="n"/>
      <c r="I468" s="54" t="n"/>
    </row>
    <row r="469">
      <c r="A469" s="42" t="n"/>
      <c r="B469" s="69" t="n"/>
      <c r="C469" s="54" t="n"/>
      <c r="D469" s="54" t="n"/>
      <c r="E469" s="54" t="n"/>
      <c r="F469" s="54" t="n"/>
      <c r="G469" s="48" t="n"/>
      <c r="H469" s="65" t="n"/>
      <c r="I469" s="54" t="n"/>
    </row>
    <row r="470">
      <c r="A470" s="42" t="n"/>
      <c r="B470" s="69" t="n"/>
      <c r="C470" s="54" t="n"/>
      <c r="D470" s="54" t="n"/>
      <c r="E470" s="59" t="n"/>
      <c r="F470" s="54" t="n"/>
      <c r="G470" s="48" t="n"/>
      <c r="H470" s="65" t="n"/>
      <c r="I470" s="54" t="n"/>
    </row>
    <row r="471">
      <c r="A471" s="42" t="n"/>
      <c r="B471" s="69" t="n"/>
      <c r="C471" s="54" t="n"/>
      <c r="D471" s="54" t="n"/>
      <c r="E471" s="59" t="n"/>
      <c r="F471" s="54" t="n"/>
      <c r="G471" s="48" t="n"/>
      <c r="H471" s="65" t="n"/>
      <c r="I471" s="54" t="n"/>
    </row>
    <row r="472">
      <c r="A472" s="42" t="n"/>
      <c r="B472" s="69" t="n"/>
      <c r="C472" s="54" t="n"/>
      <c r="D472" s="54" t="n"/>
      <c r="E472" s="59" t="n"/>
      <c r="F472" s="54" t="n"/>
      <c r="G472" s="48" t="n"/>
      <c r="H472" s="65" t="n"/>
      <c r="I472" s="54" t="n"/>
    </row>
    <row r="473">
      <c r="A473" s="42" t="n"/>
      <c r="B473" s="69" t="n"/>
      <c r="C473" s="54" t="n"/>
      <c r="D473" s="54" t="n"/>
      <c r="E473" s="59" t="n"/>
      <c r="F473" s="54" t="n"/>
      <c r="G473" s="48" t="n"/>
      <c r="H473" s="65" t="n"/>
      <c r="I473" s="54" t="n"/>
    </row>
    <row r="474">
      <c r="A474" s="42" t="n"/>
      <c r="B474" s="69" t="n"/>
      <c r="C474" s="54" t="n"/>
      <c r="D474" s="54" t="n"/>
      <c r="E474" s="59" t="n"/>
      <c r="F474" s="54" t="n"/>
      <c r="G474" s="48" t="n"/>
      <c r="H474" s="65" t="n"/>
      <c r="I474" s="54" t="n"/>
    </row>
    <row r="475">
      <c r="A475" s="42" t="n"/>
      <c r="B475" s="69" t="n"/>
      <c r="C475" s="54" t="n"/>
      <c r="D475" s="54" t="n"/>
      <c r="E475" s="59" t="n"/>
      <c r="F475" s="54" t="n"/>
      <c r="G475" s="48" t="n"/>
      <c r="H475" s="65" t="n"/>
      <c r="I475" s="54" t="n"/>
    </row>
    <row r="476">
      <c r="A476" s="42" t="n"/>
      <c r="B476" s="69" t="n"/>
      <c r="C476" s="54" t="n"/>
      <c r="D476" s="54" t="n"/>
      <c r="E476" s="59" t="n"/>
      <c r="F476" s="54" t="n"/>
      <c r="G476" s="48" t="n"/>
      <c r="H476" s="65" t="n"/>
      <c r="I476" s="54" t="n"/>
    </row>
    <row r="477">
      <c r="A477" s="42" t="n"/>
      <c r="B477" s="69" t="n"/>
      <c r="C477" s="53" t="n"/>
      <c r="D477" s="54" t="n"/>
      <c r="E477" s="59" t="n"/>
      <c r="F477" s="54" t="n"/>
      <c r="G477" s="48" t="n"/>
      <c r="H477" s="65" t="n"/>
      <c r="I477" s="54" t="n"/>
    </row>
    <row r="478">
      <c r="A478" s="42" t="n"/>
      <c r="B478" s="69" t="n"/>
      <c r="C478" s="54" t="n"/>
      <c r="D478" s="54" t="n"/>
      <c r="E478" s="59" t="n"/>
      <c r="F478" s="54" t="n"/>
      <c r="G478" s="48" t="n"/>
      <c r="H478" s="65" t="n"/>
      <c r="I478" s="54" t="n"/>
    </row>
    <row r="479">
      <c r="A479" s="42" t="n"/>
      <c r="B479" s="69" t="n"/>
      <c r="C479" s="54" t="n"/>
      <c r="D479" s="54" t="n"/>
      <c r="E479" s="59" t="n"/>
      <c r="F479" s="54" t="n"/>
      <c r="G479" s="48" t="n"/>
      <c r="H479" s="65" t="n"/>
      <c r="I479" s="54" t="n"/>
    </row>
    <row r="480">
      <c r="A480" s="42" t="n"/>
      <c r="B480" s="69" t="n"/>
      <c r="C480" s="54" t="n"/>
      <c r="D480" s="54" t="n"/>
      <c r="E480" s="59" t="n"/>
      <c r="F480" s="54" t="n"/>
      <c r="G480" s="48" t="n"/>
      <c r="H480" s="65" t="n"/>
      <c r="I480" s="54" t="n"/>
    </row>
    <row r="481">
      <c r="A481" s="42" t="n"/>
      <c r="B481" s="69" t="n"/>
      <c r="C481" s="54" t="n"/>
      <c r="D481" s="54" t="n"/>
      <c r="E481" s="59" t="n"/>
      <c r="F481" s="54" t="n"/>
      <c r="G481" s="48" t="n"/>
      <c r="H481" s="65" t="n"/>
      <c r="I481" s="54" t="n"/>
    </row>
    <row r="482">
      <c r="A482" s="42" t="n"/>
      <c r="B482" s="69" t="n"/>
      <c r="C482" s="54" t="n"/>
      <c r="D482" s="54" t="n"/>
      <c r="E482" s="59" t="n"/>
      <c r="F482" s="54" t="n"/>
      <c r="G482" s="48" t="n"/>
      <c r="H482" s="65" t="n"/>
      <c r="I482" s="54" t="n"/>
    </row>
    <row r="483">
      <c r="A483" s="42" t="n"/>
      <c r="B483" s="69" t="n"/>
      <c r="C483" s="54" t="n"/>
      <c r="D483" s="54" t="n"/>
      <c r="E483" s="59" t="n"/>
      <c r="F483" s="54" t="n"/>
      <c r="G483" s="48" t="n"/>
      <c r="H483" s="65" t="n"/>
      <c r="I483" s="54" t="n"/>
    </row>
    <row r="484">
      <c r="A484" s="42" t="n"/>
      <c r="B484" s="69" t="n"/>
      <c r="C484" s="54" t="n"/>
      <c r="D484" s="54" t="n"/>
      <c r="E484" s="59" t="n"/>
      <c r="F484" s="54" t="n"/>
      <c r="G484" s="48" t="n"/>
      <c r="H484" s="65" t="n"/>
      <c r="I484" s="54" t="n"/>
    </row>
    <row r="485">
      <c r="A485" s="42" t="n"/>
      <c r="B485" s="69" t="n"/>
      <c r="C485" s="54" t="n"/>
      <c r="D485" s="54" t="n"/>
      <c r="E485" s="59" t="n"/>
      <c r="F485" s="54" t="n"/>
      <c r="G485" s="48" t="n"/>
      <c r="H485" s="65" t="n"/>
      <c r="I485" s="54" t="n"/>
    </row>
    <row r="486">
      <c r="A486" s="42" t="n"/>
      <c r="B486" s="69" t="n"/>
      <c r="C486" s="54" t="n"/>
      <c r="D486" s="54" t="n"/>
      <c r="E486" s="59" t="n"/>
      <c r="F486" s="54" t="n"/>
      <c r="G486" s="48" t="n"/>
      <c r="H486" s="65" t="n"/>
      <c r="I486" s="54" t="n"/>
    </row>
    <row r="487">
      <c r="A487" s="42" t="n"/>
      <c r="B487" s="69" t="n"/>
      <c r="C487" s="54" t="n"/>
      <c r="D487" s="54" t="n"/>
      <c r="E487" s="59" t="n"/>
      <c r="F487" s="54" t="n"/>
      <c r="G487" s="48" t="n"/>
      <c r="H487" s="65" t="n"/>
      <c r="I487" s="54" t="n"/>
    </row>
    <row r="488">
      <c r="A488" s="42" t="n"/>
      <c r="B488" s="69" t="n"/>
      <c r="C488" s="54" t="n"/>
      <c r="D488" s="54" t="n"/>
      <c r="E488" s="59" t="n"/>
      <c r="F488" s="54" t="n"/>
      <c r="G488" s="48" t="n"/>
      <c r="H488" s="65" t="n"/>
      <c r="I488" s="54" t="n"/>
    </row>
    <row r="489">
      <c r="A489" s="42" t="n"/>
      <c r="B489" s="69" t="n"/>
      <c r="C489" s="54" t="n"/>
      <c r="D489" s="54" t="n"/>
      <c r="E489" s="59" t="n"/>
      <c r="F489" s="54" t="n"/>
      <c r="G489" s="48" t="n"/>
      <c r="H489" s="65" t="n"/>
      <c r="I489" s="54" t="n"/>
    </row>
    <row r="490">
      <c r="A490" s="42" t="n"/>
      <c r="B490" s="69" t="n"/>
      <c r="C490" s="54" t="n"/>
      <c r="D490" s="54" t="n"/>
      <c r="E490" s="59" t="n"/>
      <c r="F490" s="54" t="n"/>
      <c r="G490" s="48" t="n"/>
      <c r="H490" s="65" t="n"/>
      <c r="I490" s="54" t="n"/>
    </row>
    <row r="491">
      <c r="A491" s="42" t="n"/>
      <c r="B491" s="69" t="n"/>
      <c r="C491" s="54" t="n"/>
      <c r="D491" s="54" t="n"/>
      <c r="E491" s="59" t="n"/>
      <c r="F491" s="54" t="n"/>
      <c r="G491" s="48" t="n"/>
      <c r="H491" s="65" t="n"/>
      <c r="I491" s="54" t="n"/>
    </row>
    <row r="492">
      <c r="A492" s="42" t="n"/>
      <c r="B492" s="69" t="n"/>
      <c r="C492" s="54" t="n"/>
      <c r="D492" s="54" t="n"/>
      <c r="E492" s="59" t="n"/>
      <c r="F492" s="54" t="n"/>
      <c r="G492" s="48" t="n"/>
      <c r="H492" s="65" t="n"/>
      <c r="I492" s="54" t="n"/>
    </row>
    <row r="493">
      <c r="A493" s="42" t="n"/>
      <c r="B493" s="69" t="n"/>
      <c r="C493" s="54" t="n"/>
      <c r="D493" s="54" t="n"/>
      <c r="E493" s="59" t="n"/>
      <c r="F493" s="54" t="n"/>
      <c r="G493" s="48" t="n"/>
      <c r="H493" s="65" t="n"/>
      <c r="I493" s="54" t="n"/>
    </row>
    <row r="494">
      <c r="A494" s="42" t="n"/>
      <c r="B494" s="69" t="n"/>
      <c r="C494" s="54" t="n"/>
      <c r="D494" s="54" t="n"/>
      <c r="E494" s="54" t="n"/>
      <c r="F494" s="54" t="n"/>
      <c r="G494" s="48" t="n"/>
      <c r="H494" s="65" t="n"/>
      <c r="I494" s="54" t="n"/>
    </row>
    <row r="495">
      <c r="A495" s="42" t="n"/>
      <c r="B495" s="69" t="n"/>
      <c r="C495" s="54" t="n"/>
      <c r="D495" s="54" t="n"/>
      <c r="E495" s="59" t="n"/>
      <c r="F495" s="54" t="n"/>
      <c r="G495" s="48" t="n"/>
      <c r="H495" s="65" t="n"/>
      <c r="I495" s="54" t="n"/>
    </row>
    <row r="496">
      <c r="A496" s="42" t="n"/>
      <c r="B496" s="69" t="n"/>
      <c r="C496" s="54" t="n"/>
      <c r="D496" s="54" t="n"/>
      <c r="E496" s="59" t="n"/>
      <c r="F496" s="54" t="n"/>
      <c r="G496" s="48" t="n"/>
      <c r="H496" s="65" t="n"/>
      <c r="I496" s="54" t="n"/>
    </row>
    <row r="497">
      <c r="A497" s="42" t="n"/>
      <c r="B497" s="69" t="n"/>
      <c r="C497" s="54" t="n"/>
      <c r="D497" s="54" t="n"/>
      <c r="E497" s="59" t="n"/>
      <c r="F497" s="54" t="n"/>
      <c r="G497" s="48" t="n"/>
      <c r="H497" s="65" t="n"/>
      <c r="I497" s="54" t="n"/>
    </row>
    <row r="498">
      <c r="A498" s="42" t="n"/>
      <c r="B498" s="69" t="n"/>
      <c r="C498" s="54" t="n"/>
      <c r="D498" s="54" t="n"/>
      <c r="E498" s="59" t="n"/>
      <c r="F498" s="54" t="n"/>
      <c r="G498" s="48" t="n"/>
      <c r="H498" s="65" t="n"/>
      <c r="I498" s="54" t="n"/>
    </row>
    <row r="499">
      <c r="A499" s="42" t="n"/>
      <c r="B499" s="69" t="n"/>
      <c r="C499" s="54" t="n"/>
      <c r="D499" s="54" t="n"/>
      <c r="E499" s="59" t="n"/>
      <c r="F499" s="54" t="n"/>
      <c r="G499" s="48" t="n"/>
      <c r="H499" s="65" t="n"/>
      <c r="I499" s="54" t="n"/>
    </row>
    <row r="500">
      <c r="A500" s="42" t="n"/>
      <c r="B500" s="69" t="n"/>
      <c r="C500" s="54" t="n"/>
      <c r="D500" s="54" t="n"/>
      <c r="E500" s="59" t="n"/>
      <c r="F500" s="54" t="n"/>
      <c r="G500" s="48" t="n"/>
      <c r="H500" s="65" t="n"/>
      <c r="I500" s="54" t="n"/>
    </row>
    <row r="501">
      <c r="A501" s="42" t="n"/>
      <c r="B501" s="69" t="n"/>
      <c r="C501" s="54" t="n"/>
      <c r="D501" s="54" t="n"/>
      <c r="E501" s="59" t="n"/>
      <c r="F501" s="54" t="n"/>
      <c r="G501" s="48" t="n"/>
      <c r="H501" s="65" t="n"/>
      <c r="I501" s="54" t="n"/>
    </row>
    <row r="502">
      <c r="A502" s="42" t="n"/>
      <c r="B502" s="69" t="n"/>
      <c r="C502" s="53" t="n"/>
      <c r="D502" s="54" t="n"/>
      <c r="E502" s="59" t="n"/>
      <c r="F502" s="54" t="n"/>
      <c r="G502" s="48" t="n"/>
      <c r="H502" s="65" t="n"/>
      <c r="I502" s="54" t="n"/>
    </row>
    <row r="503">
      <c r="A503" s="42" t="n"/>
      <c r="B503" s="69" t="n"/>
      <c r="C503" s="54" t="n"/>
      <c r="D503" s="54" t="n"/>
      <c r="E503" s="59" t="n"/>
      <c r="F503" s="54" t="n"/>
      <c r="G503" s="48" t="n"/>
      <c r="H503" s="65" t="n"/>
      <c r="I503" s="54" t="n"/>
    </row>
    <row r="504">
      <c r="A504" s="42" t="n"/>
      <c r="B504" s="69" t="n"/>
      <c r="C504" s="54" t="n"/>
      <c r="D504" s="54" t="n"/>
      <c r="E504" s="59" t="n"/>
      <c r="F504" s="54" t="n"/>
      <c r="G504" s="48" t="n"/>
      <c r="H504" s="65" t="n"/>
      <c r="I504" s="54" t="n"/>
    </row>
    <row r="505">
      <c r="A505" s="42" t="n"/>
      <c r="B505" s="69" t="n"/>
      <c r="C505" s="54" t="n"/>
      <c r="D505" s="54" t="n"/>
      <c r="E505" s="59" t="n"/>
      <c r="F505" s="54" t="n"/>
      <c r="G505" s="48" t="n"/>
      <c r="H505" s="65" t="n"/>
      <c r="I505" s="54" t="n"/>
    </row>
    <row r="506">
      <c r="A506" s="42" t="n"/>
      <c r="B506" s="69" t="n"/>
      <c r="C506" s="54" t="n"/>
      <c r="D506" s="54" t="n"/>
      <c r="E506" s="59" t="n"/>
      <c r="F506" s="54" t="n"/>
      <c r="G506" s="48" t="n"/>
      <c r="H506" s="65" t="n"/>
      <c r="I506" s="54" t="n"/>
    </row>
    <row r="507">
      <c r="A507" s="42" t="n"/>
      <c r="B507" s="69" t="n"/>
      <c r="C507" s="54" t="n"/>
      <c r="D507" s="54" t="n"/>
      <c r="E507" s="59" t="n"/>
      <c r="F507" s="54" t="n"/>
      <c r="G507" s="48" t="n"/>
      <c r="H507" s="65" t="n"/>
      <c r="I507" s="54" t="n"/>
    </row>
    <row r="508">
      <c r="A508" s="42" t="n"/>
      <c r="B508" s="69" t="n"/>
      <c r="C508" s="54" t="n"/>
      <c r="D508" s="54" t="n"/>
      <c r="E508" s="59" t="n"/>
      <c r="F508" s="54" t="n"/>
      <c r="G508" s="48" t="n"/>
      <c r="H508" s="65" t="n"/>
      <c r="I508" s="54" t="n"/>
    </row>
    <row r="509">
      <c r="A509" s="42" t="n"/>
      <c r="B509" s="69" t="n"/>
      <c r="C509" s="54" t="n"/>
      <c r="D509" s="54" t="n"/>
      <c r="E509" s="59" t="n"/>
      <c r="F509" s="54" t="n"/>
      <c r="G509" s="48" t="n"/>
      <c r="H509" s="65" t="n"/>
      <c r="I509" s="54" t="n"/>
    </row>
    <row r="510">
      <c r="A510" s="42" t="n"/>
      <c r="B510" s="69" t="n"/>
      <c r="C510" s="54" t="n"/>
      <c r="D510" s="54" t="n"/>
      <c r="E510" s="59" t="n"/>
      <c r="F510" s="54" t="n"/>
      <c r="G510" s="48" t="n"/>
      <c r="H510" s="65" t="n"/>
      <c r="I510" s="54" t="n"/>
    </row>
    <row r="511">
      <c r="A511" s="42" t="n"/>
      <c r="B511" s="69" t="n"/>
      <c r="C511" s="54" t="n"/>
      <c r="D511" s="54" t="n"/>
      <c r="E511" s="59" t="n"/>
      <c r="F511" s="54" t="n"/>
      <c r="G511" s="48" t="n"/>
      <c r="H511" s="65" t="n"/>
      <c r="I511" s="54" t="n"/>
    </row>
    <row r="512">
      <c r="A512" s="42" t="n"/>
      <c r="B512" s="69" t="n"/>
      <c r="C512" s="54" t="n"/>
      <c r="D512" s="54" t="n"/>
      <c r="E512" s="59" t="n"/>
      <c r="F512" s="54" t="n"/>
      <c r="G512" s="48" t="n"/>
      <c r="H512" s="65" t="n"/>
      <c r="I512" s="54" t="n"/>
    </row>
    <row r="513">
      <c r="A513" s="42" t="n"/>
      <c r="B513" s="69" t="n"/>
      <c r="C513" s="54" t="n"/>
      <c r="D513" s="54" t="n"/>
      <c r="E513" s="59" t="n"/>
      <c r="F513" s="54" t="n"/>
      <c r="G513" s="48" t="n"/>
      <c r="H513" s="65" t="n"/>
      <c r="I513" s="54" t="n"/>
    </row>
    <row r="514">
      <c r="A514" s="42" t="n"/>
      <c r="B514" s="69" t="n"/>
      <c r="C514" s="54" t="n"/>
      <c r="D514" s="54" t="n"/>
      <c r="E514" s="59" t="n"/>
      <c r="F514" s="54" t="n"/>
      <c r="G514" s="48" t="n"/>
      <c r="H514" s="65" t="n"/>
      <c r="I514" s="54" t="n"/>
    </row>
    <row r="515">
      <c r="A515" s="42" t="n"/>
      <c r="B515" s="69" t="n"/>
      <c r="C515" s="54" t="n"/>
      <c r="D515" s="54" t="n"/>
      <c r="E515" s="59" t="n"/>
      <c r="F515" s="54" t="n"/>
      <c r="G515" s="48" t="n"/>
      <c r="H515" s="65" t="n"/>
      <c r="I515" s="54" t="n"/>
    </row>
    <row r="516">
      <c r="A516" s="42" t="n"/>
      <c r="B516" s="69" t="n"/>
      <c r="C516" s="54" t="n"/>
      <c r="D516" s="54" t="n"/>
      <c r="E516" s="59" t="n"/>
      <c r="F516" s="54" t="n"/>
      <c r="G516" s="48" t="n"/>
      <c r="H516" s="65" t="n"/>
      <c r="I516" s="54" t="n"/>
    </row>
    <row r="517">
      <c r="A517" s="42" t="n"/>
      <c r="B517" s="69" t="n"/>
      <c r="C517" s="54" t="n"/>
      <c r="D517" s="54" t="n"/>
      <c r="E517" s="59" t="n"/>
      <c r="F517" s="54" t="n"/>
      <c r="G517" s="48" t="n"/>
      <c r="H517" s="65" t="n"/>
      <c r="I517" s="54" t="n"/>
    </row>
    <row r="518">
      <c r="A518" s="42" t="n"/>
      <c r="B518" s="69" t="n"/>
      <c r="C518" s="54" t="n"/>
      <c r="D518" s="54" t="n"/>
      <c r="E518" s="59" t="n"/>
      <c r="F518" s="54" t="n"/>
      <c r="G518" s="48" t="n"/>
      <c r="H518" s="65" t="n"/>
      <c r="I518" s="54" t="n"/>
    </row>
    <row r="519">
      <c r="A519" s="42" t="n"/>
      <c r="B519" s="69" t="n"/>
      <c r="C519" s="54" t="n"/>
      <c r="D519" s="54" t="n"/>
      <c r="E519" s="54" t="n"/>
      <c r="F519" s="54" t="n"/>
      <c r="G519" s="48" t="n"/>
      <c r="H519" s="65" t="n"/>
      <c r="I519" s="54" t="n"/>
    </row>
    <row r="520">
      <c r="A520" s="42" t="n"/>
      <c r="B520" s="69" t="n"/>
      <c r="C520" s="54" t="n"/>
      <c r="D520" s="54" t="n"/>
      <c r="E520" s="59" t="n"/>
      <c r="F520" s="54" t="n"/>
      <c r="G520" s="48" t="n"/>
      <c r="H520" s="65" t="n"/>
      <c r="I520" s="54" t="n"/>
    </row>
    <row r="521">
      <c r="A521" s="42" t="n"/>
      <c r="B521" s="69" t="n"/>
      <c r="C521" s="54" t="n"/>
      <c r="D521" s="54" t="n"/>
      <c r="E521" s="59" t="n"/>
      <c r="F521" s="54" t="n"/>
      <c r="G521" s="48" t="n"/>
      <c r="H521" s="65" t="n"/>
      <c r="I521" s="54" t="n"/>
    </row>
    <row r="522">
      <c r="A522" s="42" t="n"/>
      <c r="B522" s="69" t="n"/>
      <c r="C522" s="54" t="n"/>
      <c r="D522" s="54" t="n"/>
      <c r="E522" s="59" t="n"/>
      <c r="F522" s="54" t="n"/>
      <c r="G522" s="48" t="n"/>
      <c r="H522" s="65" t="n"/>
      <c r="I522" s="54" t="n"/>
    </row>
    <row r="523">
      <c r="A523" s="42" t="n"/>
      <c r="B523" s="69" t="n"/>
      <c r="C523" s="54" t="n"/>
      <c r="D523" s="54" t="n"/>
      <c r="E523" s="59" t="n"/>
      <c r="F523" s="54" t="n"/>
      <c r="G523" s="48" t="n"/>
      <c r="H523" s="65" t="n"/>
      <c r="I523" s="54" t="n"/>
    </row>
    <row r="524">
      <c r="A524" s="42" t="n"/>
      <c r="B524" s="69" t="n"/>
      <c r="C524" s="54" t="n"/>
      <c r="D524" s="54" t="n"/>
      <c r="E524" s="59" t="n"/>
      <c r="F524" s="54" t="n"/>
      <c r="G524" s="48" t="n"/>
      <c r="H524" s="65" t="n"/>
      <c r="I524" s="54" t="n"/>
    </row>
    <row r="525">
      <c r="A525" s="42" t="n"/>
      <c r="B525" s="69" t="n"/>
      <c r="C525" s="54" t="n"/>
      <c r="D525" s="54" t="n"/>
      <c r="E525" s="59" t="n"/>
      <c r="F525" s="54" t="n"/>
      <c r="G525" s="48" t="n"/>
      <c r="H525" s="65" t="n"/>
      <c r="I525" s="54" t="n"/>
    </row>
    <row r="526">
      <c r="A526" s="42" t="n"/>
      <c r="B526" s="69" t="n"/>
      <c r="C526" s="54" t="n"/>
      <c r="D526" s="54" t="n"/>
      <c r="E526" s="59" t="n"/>
      <c r="F526" s="54" t="n"/>
      <c r="G526" s="48" t="n"/>
      <c r="H526" s="65" t="n"/>
      <c r="I526" s="54" t="n"/>
    </row>
    <row r="527">
      <c r="A527" s="42" t="n"/>
      <c r="B527" s="69" t="n"/>
      <c r="C527" s="53" t="n"/>
      <c r="D527" s="54" t="n"/>
      <c r="E527" s="59" t="n"/>
      <c r="F527" s="54" t="n"/>
      <c r="G527" s="48" t="n"/>
      <c r="H527" s="65" t="n"/>
      <c r="I527" s="54" t="n"/>
    </row>
    <row r="528">
      <c r="A528" s="42" t="n"/>
      <c r="B528" s="69" t="n"/>
      <c r="C528" s="54" t="n"/>
      <c r="D528" s="54" t="n"/>
      <c r="E528" s="59" t="n"/>
      <c r="F528" s="54" t="n"/>
      <c r="G528" s="48" t="n"/>
      <c r="H528" s="65" t="n"/>
      <c r="I528" s="54" t="n"/>
    </row>
    <row r="529">
      <c r="A529" s="42" t="n"/>
      <c r="B529" s="69" t="n"/>
      <c r="C529" s="54" t="n"/>
      <c r="D529" s="54" t="n"/>
      <c r="E529" s="59" t="n"/>
      <c r="F529" s="54" t="n"/>
      <c r="G529" s="48" t="n"/>
      <c r="H529" s="65" t="n"/>
      <c r="I529" s="54" t="n"/>
    </row>
    <row r="530">
      <c r="A530" s="42" t="n"/>
      <c r="B530" s="69" t="n"/>
      <c r="C530" s="54" t="n"/>
      <c r="D530" s="54" t="n"/>
      <c r="E530" s="59" t="n"/>
      <c r="F530" s="54" t="n"/>
      <c r="G530" s="48" t="n"/>
      <c r="H530" s="65" t="n"/>
      <c r="I530" s="54" t="n"/>
    </row>
    <row r="531">
      <c r="A531" s="42" t="n"/>
      <c r="B531" s="69" t="n"/>
      <c r="C531" s="54" t="n"/>
      <c r="D531" s="54" t="n"/>
      <c r="E531" s="59" t="n"/>
      <c r="F531" s="54" t="n"/>
      <c r="G531" s="48" t="n"/>
      <c r="H531" s="65" t="n"/>
      <c r="I531" s="54" t="n"/>
    </row>
    <row r="532">
      <c r="A532" s="42" t="n"/>
      <c r="B532" s="69" t="n"/>
      <c r="C532" s="54" t="n"/>
      <c r="D532" s="54" t="n"/>
      <c r="E532" s="59" t="n"/>
      <c r="F532" s="54" t="n"/>
      <c r="G532" s="48" t="n"/>
      <c r="H532" s="65" t="n"/>
      <c r="I532" s="54" t="n"/>
    </row>
    <row r="533">
      <c r="A533" s="42" t="n"/>
      <c r="B533" s="69" t="n"/>
      <c r="C533" s="54" t="n"/>
      <c r="D533" s="54" t="n"/>
      <c r="E533" s="59" t="n"/>
      <c r="F533" s="54" t="n"/>
      <c r="G533" s="48" t="n"/>
      <c r="H533" s="65" t="n"/>
      <c r="I533" s="54" t="n"/>
    </row>
    <row r="534">
      <c r="A534" s="42" t="n"/>
      <c r="B534" s="69" t="n"/>
      <c r="C534" s="54" t="n"/>
      <c r="D534" s="54" t="n"/>
      <c r="E534" s="59" t="n"/>
      <c r="F534" s="54" t="n"/>
      <c r="G534" s="48" t="n"/>
      <c r="H534" s="65" t="n"/>
      <c r="I534" s="54" t="n"/>
    </row>
    <row r="535">
      <c r="A535" s="42" t="n"/>
      <c r="B535" s="69" t="n"/>
      <c r="C535" s="54" t="n"/>
      <c r="D535" s="54" t="n"/>
      <c r="E535" s="59" t="n"/>
      <c r="F535" s="54" t="n"/>
      <c r="G535" s="48" t="n"/>
      <c r="H535" s="65" t="n"/>
      <c r="I535" s="54" t="n"/>
    </row>
    <row r="536">
      <c r="A536" s="42" t="n"/>
      <c r="B536" s="69" t="n"/>
      <c r="C536" s="54" t="n"/>
      <c r="D536" s="54" t="n"/>
      <c r="E536" s="59" t="n"/>
      <c r="F536" s="54" t="n"/>
      <c r="G536" s="48" t="n"/>
      <c r="H536" s="65" t="n"/>
      <c r="I536" s="54" t="n"/>
    </row>
    <row r="537">
      <c r="A537" s="42" t="n"/>
      <c r="B537" s="69" t="n"/>
      <c r="C537" s="54" t="n"/>
      <c r="D537" s="54" t="n"/>
      <c r="E537" s="59" t="n"/>
      <c r="F537" s="54" t="n"/>
      <c r="G537" s="48" t="n"/>
      <c r="H537" s="65" t="n"/>
      <c r="I537" s="54" t="n"/>
    </row>
    <row r="538">
      <c r="A538" s="42" t="n"/>
      <c r="B538" s="69" t="n"/>
      <c r="C538" s="54" t="n"/>
      <c r="D538" s="54" t="n"/>
      <c r="E538" s="59" t="n"/>
      <c r="F538" s="54" t="n"/>
      <c r="G538" s="48" t="n"/>
      <c r="H538" s="65" t="n"/>
      <c r="I538" s="54" t="n"/>
    </row>
    <row r="539">
      <c r="A539" s="42" t="n"/>
      <c r="B539" s="69" t="n"/>
      <c r="C539" s="54" t="n"/>
      <c r="D539" s="54" t="n"/>
      <c r="E539" s="59" t="n"/>
      <c r="F539" s="54" t="n"/>
      <c r="G539" s="48" t="n"/>
      <c r="H539" s="65" t="n"/>
      <c r="I539" s="54" t="n"/>
    </row>
    <row r="540">
      <c r="A540" s="42" t="n"/>
      <c r="B540" s="69" t="n"/>
      <c r="C540" s="54" t="n"/>
      <c r="D540" s="54" t="n"/>
      <c r="E540" s="59" t="n"/>
      <c r="F540" s="54" t="n"/>
      <c r="G540" s="48" t="n"/>
      <c r="H540" s="65" t="n"/>
      <c r="I540" s="54" t="n"/>
    </row>
    <row r="541">
      <c r="A541" s="42" t="n"/>
      <c r="B541" s="69" t="n"/>
      <c r="C541" s="54" t="n"/>
      <c r="D541" s="54" t="n"/>
      <c r="E541" s="59" t="n"/>
      <c r="F541" s="54" t="n"/>
      <c r="G541" s="48" t="n"/>
      <c r="H541" s="65" t="n"/>
      <c r="I541" s="54" t="n"/>
    </row>
    <row r="542">
      <c r="A542" s="42" t="n"/>
      <c r="B542" s="69" t="n"/>
      <c r="C542" s="54" t="n"/>
      <c r="D542" s="54" t="n"/>
      <c r="E542" s="59" t="n"/>
      <c r="F542" s="54" t="n"/>
      <c r="G542" s="48" t="n"/>
      <c r="H542" s="65" t="n"/>
      <c r="I542" s="54" t="n"/>
    </row>
    <row r="543">
      <c r="A543" s="42" t="n"/>
      <c r="B543" s="69" t="n"/>
      <c r="C543" s="54" t="n"/>
      <c r="D543" s="54" t="n"/>
      <c r="E543" s="59" t="n"/>
      <c r="F543" s="54" t="n"/>
      <c r="G543" s="48" t="n"/>
      <c r="H543" s="65" t="n"/>
      <c r="I543" s="54" t="n"/>
    </row>
    <row r="544">
      <c r="A544" s="42" t="n"/>
      <c r="B544" s="69" t="n"/>
      <c r="C544" s="54" t="n"/>
      <c r="D544" s="54" t="n"/>
      <c r="E544" s="54" t="n"/>
      <c r="F544" s="54" t="n"/>
      <c r="G544" s="48" t="n"/>
      <c r="H544" s="65" t="n"/>
      <c r="I544" s="54" t="n"/>
    </row>
    <row r="545">
      <c r="A545" s="42" t="n"/>
      <c r="B545" s="69" t="n"/>
      <c r="C545" s="54" t="n"/>
      <c r="D545" s="54" t="n"/>
      <c r="E545" s="59" t="n"/>
      <c r="F545" s="54" t="n"/>
      <c r="G545" s="48" t="n"/>
      <c r="H545" s="65" t="n"/>
      <c r="I545" s="54" t="n"/>
    </row>
    <row r="546">
      <c r="A546" s="42" t="n"/>
      <c r="B546" s="69" t="n"/>
      <c r="C546" s="54" t="n"/>
      <c r="D546" s="54" t="n"/>
      <c r="E546" s="59" t="n"/>
      <c r="F546" s="54" t="n"/>
      <c r="G546" s="48" t="n"/>
      <c r="H546" s="65" t="n"/>
      <c r="I546" s="54" t="n"/>
    </row>
    <row r="547">
      <c r="A547" s="42" t="n"/>
      <c r="B547" s="69" t="n"/>
      <c r="C547" s="54" t="n"/>
      <c r="D547" s="54" t="n"/>
      <c r="E547" s="59" t="n"/>
      <c r="F547" s="54" t="n"/>
      <c r="G547" s="48" t="n"/>
      <c r="H547" s="65" t="n"/>
      <c r="I547" s="54" t="n"/>
    </row>
    <row r="548">
      <c r="A548" s="42" t="n"/>
      <c r="B548" s="69" t="n"/>
      <c r="C548" s="54" t="n"/>
      <c r="D548" s="54" t="n"/>
      <c r="E548" s="59" t="n"/>
      <c r="F548" s="54" t="n"/>
      <c r="G548" s="48" t="n"/>
      <c r="H548" s="65" t="n"/>
      <c r="I548" s="54" t="n"/>
    </row>
    <row r="549">
      <c r="A549" s="42" t="n"/>
      <c r="B549" s="69" t="n"/>
      <c r="C549" s="54" t="n"/>
      <c r="D549" s="54" t="n"/>
      <c r="E549" s="59" t="n"/>
      <c r="F549" s="54" t="n"/>
      <c r="G549" s="48" t="n"/>
      <c r="H549" s="65" t="n"/>
      <c r="I549" s="54" t="n"/>
    </row>
    <row r="550">
      <c r="A550" s="42" t="n"/>
      <c r="B550" s="69" t="n"/>
      <c r="C550" s="54" t="n"/>
      <c r="D550" s="54" t="n"/>
      <c r="E550" s="59" t="n"/>
      <c r="F550" s="54" t="n"/>
      <c r="G550" s="48" t="n"/>
      <c r="H550" s="65" t="n"/>
      <c r="I550" s="54" t="n"/>
    </row>
    <row r="551">
      <c r="A551" s="42" t="n"/>
      <c r="B551" s="69" t="n"/>
      <c r="C551" s="54" t="n"/>
      <c r="D551" s="54" t="n"/>
      <c r="E551" s="59" t="n"/>
      <c r="F551" s="54" t="n"/>
      <c r="G551" s="48" t="n"/>
      <c r="H551" s="65" t="n"/>
      <c r="I551" s="54" t="n"/>
    </row>
    <row r="552">
      <c r="A552" s="42" t="n"/>
      <c r="B552" s="69" t="n"/>
      <c r="C552" s="53" t="n"/>
      <c r="D552" s="54" t="n"/>
      <c r="E552" s="59" t="n"/>
      <c r="F552" s="54" t="n"/>
      <c r="G552" s="48" t="n"/>
      <c r="H552" s="65" t="n"/>
      <c r="I552" s="54" t="n"/>
    </row>
    <row r="553">
      <c r="A553" s="42" t="n"/>
      <c r="B553" s="69" t="n"/>
      <c r="C553" s="54" t="n"/>
      <c r="D553" s="54" t="n"/>
      <c r="E553" s="59" t="n"/>
      <c r="F553" s="54" t="n"/>
      <c r="G553" s="48" t="n"/>
      <c r="H553" s="65" t="n"/>
      <c r="I553" s="54" t="n"/>
    </row>
    <row r="554">
      <c r="A554" s="42" t="n"/>
      <c r="B554" s="69" t="n"/>
      <c r="C554" s="54" t="n"/>
      <c r="D554" s="54" t="n"/>
      <c r="E554" s="59" t="n"/>
      <c r="F554" s="54" t="n"/>
      <c r="G554" s="48" t="n"/>
      <c r="H554" s="65" t="n"/>
      <c r="I554" s="54" t="n"/>
    </row>
    <row r="555">
      <c r="A555" s="42" t="n"/>
      <c r="B555" s="69" t="n"/>
      <c r="C555" s="54" t="n"/>
      <c r="D555" s="54" t="n"/>
      <c r="E555" s="59" t="n"/>
      <c r="F555" s="54" t="n"/>
      <c r="G555" s="48" t="n"/>
      <c r="H555" s="65" t="n"/>
      <c r="I555" s="54" t="n"/>
    </row>
    <row r="556">
      <c r="A556" s="42" t="n"/>
      <c r="B556" s="69" t="n"/>
      <c r="C556" s="54" t="n"/>
      <c r="D556" s="54" t="n"/>
      <c r="E556" s="59" t="n"/>
      <c r="F556" s="54" t="n"/>
      <c r="G556" s="48" t="n"/>
      <c r="H556" s="65" t="n"/>
      <c r="I556" s="54" t="n"/>
    </row>
    <row r="557">
      <c r="A557" s="42" t="n"/>
      <c r="B557" s="69" t="n"/>
      <c r="C557" s="54" t="n"/>
      <c r="D557" s="54" t="n"/>
      <c r="E557" s="59" t="n"/>
      <c r="F557" s="54" t="n"/>
      <c r="G557" s="48" t="n"/>
      <c r="H557" s="65" t="n"/>
      <c r="I557" s="54" t="n"/>
    </row>
    <row r="558">
      <c r="A558" s="42" t="n"/>
      <c r="B558" s="69" t="n"/>
      <c r="C558" s="54" t="n"/>
      <c r="D558" s="54" t="n"/>
      <c r="E558" s="59" t="n"/>
      <c r="F558" s="54" t="n"/>
      <c r="G558" s="48" t="n"/>
      <c r="H558" s="65" t="n"/>
      <c r="I558" s="54" t="n"/>
    </row>
    <row r="559">
      <c r="A559" s="42" t="n"/>
      <c r="B559" s="69" t="n"/>
      <c r="C559" s="54" t="n"/>
      <c r="D559" s="54" t="n"/>
      <c r="E559" s="59" t="n"/>
      <c r="F559" s="54" t="n"/>
      <c r="G559" s="48" t="n"/>
      <c r="H559" s="65" t="n"/>
      <c r="I559" s="54" t="n"/>
    </row>
    <row r="560">
      <c r="A560" s="42" t="n"/>
      <c r="B560" s="69" t="n"/>
      <c r="C560" s="54" t="n"/>
      <c r="D560" s="54" t="n"/>
      <c r="E560" s="59" t="n"/>
      <c r="F560" s="54" t="n"/>
      <c r="G560" s="48" t="n"/>
      <c r="H560" s="65" t="n"/>
      <c r="I560" s="54" t="n"/>
    </row>
    <row r="561">
      <c r="A561" s="42" t="n"/>
      <c r="B561" s="69" t="n"/>
      <c r="C561" s="54" t="n"/>
      <c r="D561" s="54" t="n"/>
      <c r="E561" s="59" t="n"/>
      <c r="F561" s="54" t="n"/>
      <c r="G561" s="48" t="n"/>
      <c r="H561" s="65" t="n"/>
      <c r="I561" s="54" t="n"/>
    </row>
    <row r="562">
      <c r="A562" s="42" t="n"/>
      <c r="B562" s="69" t="n"/>
      <c r="C562" s="54" t="n"/>
      <c r="D562" s="54" t="n"/>
      <c r="E562" s="59" t="n"/>
      <c r="F562" s="54" t="n"/>
      <c r="G562" s="48" t="n"/>
      <c r="H562" s="65" t="n"/>
      <c r="I562" s="54" t="n"/>
    </row>
    <row r="563">
      <c r="A563" s="42" t="n"/>
      <c r="B563" s="69" t="n"/>
      <c r="C563" s="54" t="n"/>
      <c r="D563" s="54" t="n"/>
      <c r="E563" s="59" t="n"/>
      <c r="F563" s="54" t="n"/>
      <c r="G563" s="48" t="n"/>
      <c r="H563" s="65" t="n"/>
      <c r="I563" s="54" t="n"/>
    </row>
    <row r="564">
      <c r="A564" s="42" t="n"/>
      <c r="B564" s="69" t="n"/>
      <c r="C564" s="54" t="n"/>
      <c r="D564" s="54" t="n"/>
      <c r="E564" s="59" t="n"/>
      <c r="F564" s="54" t="n"/>
      <c r="G564" s="48" t="n"/>
      <c r="H564" s="65" t="n"/>
      <c r="I564" s="54" t="n"/>
    </row>
    <row r="565">
      <c r="A565" s="42" t="n"/>
      <c r="B565" s="69" t="n"/>
      <c r="C565" s="54" t="n"/>
      <c r="D565" s="54" t="n"/>
      <c r="E565" s="59" t="n"/>
      <c r="F565" s="54" t="n"/>
      <c r="G565" s="48" t="n"/>
      <c r="H565" s="65" t="n"/>
      <c r="I565" s="54" t="n"/>
    </row>
    <row r="566">
      <c r="A566" s="42" t="n"/>
      <c r="B566" s="69" t="n"/>
      <c r="C566" s="54" t="n"/>
      <c r="D566" s="54" t="n"/>
      <c r="E566" s="59" t="n"/>
      <c r="F566" s="54" t="n"/>
      <c r="G566" s="48" t="n"/>
      <c r="H566" s="65" t="n"/>
      <c r="I566" s="54" t="n"/>
    </row>
    <row r="567">
      <c r="A567" s="42" t="n"/>
      <c r="B567" s="69" t="n"/>
      <c r="C567" s="54" t="n"/>
      <c r="D567" s="54" t="n"/>
      <c r="E567" s="59" t="n"/>
      <c r="F567" s="54" t="n"/>
      <c r="G567" s="48" t="n"/>
      <c r="H567" s="65" t="n"/>
      <c r="I567" s="54" t="n"/>
    </row>
    <row r="568">
      <c r="A568" s="42" t="n"/>
      <c r="B568" s="69" t="n"/>
      <c r="C568" s="54" t="n"/>
      <c r="D568" s="54" t="n"/>
      <c r="E568" s="59" t="n"/>
      <c r="F568" s="54" t="n"/>
      <c r="G568" s="48" t="n"/>
      <c r="H568" s="65" t="n"/>
      <c r="I568" s="54" t="n"/>
    </row>
    <row r="569">
      <c r="A569" s="42" t="n"/>
      <c r="B569" s="69" t="n"/>
      <c r="C569" s="54" t="n"/>
      <c r="D569" s="54" t="n"/>
      <c r="E569" s="54" t="n"/>
      <c r="F569" s="54" t="n"/>
      <c r="G569" s="48" t="n"/>
      <c r="H569" s="65" t="n"/>
      <c r="I569" s="54" t="n"/>
    </row>
    <row r="570">
      <c r="A570" s="42" t="n"/>
      <c r="B570" s="69" t="n"/>
      <c r="C570" s="54" t="n"/>
      <c r="D570" s="54" t="n"/>
      <c r="E570" s="59" t="n"/>
      <c r="F570" s="54" t="n"/>
      <c r="G570" s="48" t="n"/>
      <c r="H570" s="65" t="n"/>
      <c r="I570" s="54" t="n"/>
    </row>
    <row r="571">
      <c r="A571" s="42" t="n"/>
      <c r="B571" s="69" t="n"/>
      <c r="C571" s="54" t="n"/>
      <c r="D571" s="54" t="n"/>
      <c r="E571" s="59" t="n"/>
      <c r="F571" s="54" t="n"/>
      <c r="G571" s="48" t="n"/>
      <c r="H571" s="65" t="n"/>
      <c r="I571" s="54" t="n"/>
    </row>
    <row r="572">
      <c r="A572" s="42" t="n"/>
      <c r="B572" s="69" t="n"/>
      <c r="C572" s="54" t="n"/>
      <c r="D572" s="54" t="n"/>
      <c r="E572" s="59" t="n"/>
      <c r="F572" s="54" t="n"/>
      <c r="G572" s="48" t="n"/>
      <c r="H572" s="65" t="n"/>
      <c r="I572" s="54" t="n"/>
    </row>
    <row r="573">
      <c r="A573" s="42" t="n"/>
      <c r="B573" s="69" t="n"/>
      <c r="C573" s="54" t="n"/>
      <c r="D573" s="54" t="n"/>
      <c r="E573" s="59" t="n"/>
      <c r="F573" s="54" t="n"/>
      <c r="G573" s="48" t="n"/>
      <c r="H573" s="65" t="n"/>
      <c r="I573" s="54" t="n"/>
    </row>
    <row r="574">
      <c r="A574" s="42" t="n"/>
      <c r="B574" s="69" t="n"/>
      <c r="C574" s="54" t="n"/>
      <c r="D574" s="54" t="n"/>
      <c r="E574" s="59" t="n"/>
      <c r="F574" s="54" t="n"/>
      <c r="G574" s="48" t="n"/>
      <c r="H574" s="65" t="n"/>
      <c r="I574" s="54" t="n"/>
    </row>
    <row r="575">
      <c r="A575" s="42" t="n"/>
      <c r="B575" s="69" t="n"/>
      <c r="C575" s="54" t="n"/>
      <c r="D575" s="54" t="n"/>
      <c r="E575" s="59" t="n"/>
      <c r="F575" s="54" t="n"/>
      <c r="G575" s="48" t="n"/>
      <c r="H575" s="65" t="n"/>
      <c r="I575" s="54" t="n"/>
    </row>
    <row r="576">
      <c r="A576" s="42" t="n"/>
      <c r="B576" s="69" t="n"/>
      <c r="C576" s="54" t="n"/>
      <c r="D576" s="54" t="n"/>
      <c r="E576" s="59" t="n"/>
      <c r="F576" s="54" t="n"/>
      <c r="G576" s="48" t="n"/>
      <c r="H576" s="65" t="n"/>
      <c r="I576" s="54" t="n"/>
    </row>
    <row r="577">
      <c r="A577" s="42" t="n"/>
      <c r="B577" s="69" t="n"/>
      <c r="C577" s="53" t="n"/>
      <c r="D577" s="54" t="n"/>
      <c r="E577" s="59" t="n"/>
      <c r="F577" s="54" t="n"/>
      <c r="G577" s="48" t="n"/>
      <c r="H577" s="65" t="n"/>
      <c r="I577" s="54" t="n"/>
    </row>
    <row r="578">
      <c r="A578" s="42" t="n"/>
      <c r="B578" s="69" t="n"/>
      <c r="C578" s="54" t="n"/>
      <c r="D578" s="54" t="n"/>
      <c r="E578" s="59" t="n"/>
      <c r="F578" s="54" t="n"/>
      <c r="G578" s="48" t="n"/>
      <c r="H578" s="65" t="n"/>
      <c r="I578" s="54" t="n"/>
    </row>
    <row r="579">
      <c r="A579" s="42" t="n"/>
      <c r="B579" s="69" t="n"/>
      <c r="C579" s="54" t="n"/>
      <c r="D579" s="54" t="n"/>
      <c r="E579" s="59" t="n"/>
      <c r="F579" s="54" t="n"/>
      <c r="G579" s="48" t="n"/>
      <c r="H579" s="65" t="n"/>
      <c r="I579" s="54" t="n"/>
    </row>
    <row r="580">
      <c r="A580" s="42" t="n"/>
      <c r="B580" s="69" t="n"/>
      <c r="C580" s="54" t="n"/>
      <c r="D580" s="54" t="n"/>
      <c r="E580" s="59" t="n"/>
      <c r="F580" s="54" t="n"/>
      <c r="G580" s="48" t="n"/>
      <c r="H580" s="65" t="n"/>
      <c r="I580" s="54" t="n"/>
    </row>
    <row r="581">
      <c r="A581" s="42" t="n"/>
      <c r="B581" s="69" t="n"/>
      <c r="C581" s="54" t="n"/>
      <c r="D581" s="54" t="n"/>
      <c r="E581" s="59" t="n"/>
      <c r="F581" s="54" t="n"/>
      <c r="G581" s="48" t="n"/>
      <c r="H581" s="65" t="n"/>
      <c r="I581" s="54" t="n"/>
    </row>
    <row r="582">
      <c r="A582" s="42" t="n"/>
      <c r="B582" s="69" t="n"/>
      <c r="C582" s="54" t="n"/>
      <c r="D582" s="54" t="n"/>
      <c r="E582" s="59" t="n"/>
      <c r="F582" s="54" t="n"/>
      <c r="G582" s="48" t="n"/>
      <c r="H582" s="65" t="n"/>
      <c r="I582" s="54" t="n"/>
    </row>
    <row r="583">
      <c r="A583" s="42" t="n"/>
      <c r="B583" s="69" t="n"/>
      <c r="C583" s="54" t="n"/>
      <c r="D583" s="54" t="n"/>
      <c r="E583" s="59" t="n"/>
      <c r="F583" s="54" t="n"/>
      <c r="G583" s="48" t="n"/>
      <c r="H583" s="65" t="n"/>
      <c r="I583" s="54" t="n"/>
    </row>
    <row r="584">
      <c r="A584" s="42" t="n"/>
      <c r="B584" s="69" t="n"/>
      <c r="C584" s="54" t="n"/>
      <c r="D584" s="54" t="n"/>
      <c r="E584" s="59" t="n"/>
      <c r="F584" s="54" t="n"/>
      <c r="G584" s="48" t="n"/>
      <c r="H584" s="65" t="n"/>
      <c r="I584" s="54" t="n"/>
    </row>
    <row r="585">
      <c r="A585" s="42" t="n"/>
      <c r="B585" s="69" t="n"/>
      <c r="C585" s="54" t="n"/>
      <c r="D585" s="54" t="n"/>
      <c r="E585" s="59" t="n"/>
      <c r="F585" s="54" t="n"/>
      <c r="G585" s="48" t="n"/>
      <c r="H585" s="65" t="n"/>
      <c r="I585" s="54" t="n"/>
    </row>
    <row r="586">
      <c r="A586" s="42" t="n"/>
      <c r="B586" s="69" t="n"/>
      <c r="C586" s="54" t="n"/>
      <c r="D586" s="54" t="n"/>
      <c r="E586" s="59" t="n"/>
      <c r="F586" s="54" t="n"/>
      <c r="G586" s="48" t="n"/>
      <c r="H586" s="65" t="n"/>
      <c r="I586" s="54" t="n"/>
    </row>
    <row r="587">
      <c r="A587" s="42" t="n"/>
      <c r="B587" s="69" t="n"/>
      <c r="C587" s="54" t="n"/>
      <c r="D587" s="54" t="n"/>
      <c r="E587" s="59" t="n"/>
      <c r="F587" s="54" t="n"/>
      <c r="G587" s="48" t="n"/>
      <c r="H587" s="65" t="n"/>
      <c r="I587" s="54" t="n"/>
    </row>
    <row r="588">
      <c r="A588" s="42" t="n"/>
      <c r="B588" s="69" t="n"/>
      <c r="C588" s="54" t="n"/>
      <c r="D588" s="54" t="n"/>
      <c r="E588" s="59" t="n"/>
      <c r="F588" s="54" t="n"/>
      <c r="G588" s="48" t="n"/>
      <c r="H588" s="65" t="n"/>
      <c r="I588" s="54" t="n"/>
    </row>
    <row r="589">
      <c r="A589" s="42" t="n"/>
      <c r="B589" s="69" t="n"/>
      <c r="C589" s="54" t="n"/>
      <c r="D589" s="54" t="n"/>
      <c r="E589" s="59" t="n"/>
      <c r="F589" s="54" t="n"/>
      <c r="G589" s="48" t="n"/>
      <c r="H589" s="65" t="n"/>
      <c r="I589" s="54" t="n"/>
    </row>
    <row r="590">
      <c r="A590" s="42" t="n"/>
      <c r="B590" s="69" t="n"/>
      <c r="C590" s="54" t="n"/>
      <c r="D590" s="54" t="n"/>
      <c r="E590" s="59" t="n"/>
      <c r="F590" s="54" t="n"/>
      <c r="G590" s="48" t="n"/>
      <c r="H590" s="65" t="n"/>
      <c r="I590" s="54" t="n"/>
    </row>
    <row r="591">
      <c r="A591" s="42" t="n"/>
      <c r="B591" s="69" t="n"/>
      <c r="C591" s="54" t="n"/>
      <c r="D591" s="54" t="n"/>
      <c r="E591" s="59" t="n"/>
      <c r="F591" s="54" t="n"/>
      <c r="G591" s="48" t="n"/>
      <c r="H591" s="65" t="n"/>
      <c r="I591" s="54" t="n"/>
    </row>
    <row r="592">
      <c r="A592" s="42" t="n"/>
      <c r="B592" s="69" t="n"/>
      <c r="C592" s="54" t="n"/>
      <c r="D592" s="54" t="n"/>
      <c r="E592" s="59" t="n"/>
      <c r="F592" s="54" t="n"/>
      <c r="G592" s="48" t="n"/>
      <c r="H592" s="65" t="n"/>
      <c r="I592" s="54" t="n"/>
    </row>
    <row r="593">
      <c r="A593" s="42" t="n"/>
      <c r="B593" s="69" t="n"/>
      <c r="C593" s="54" t="n"/>
      <c r="D593" s="54" t="n"/>
      <c r="E593" s="59" t="n"/>
      <c r="F593" s="54" t="n"/>
      <c r="G593" s="48" t="n"/>
      <c r="H593" s="65" t="n"/>
      <c r="I593" s="54" t="n"/>
    </row>
    <row r="594">
      <c r="A594" s="42" t="n"/>
      <c r="B594" s="69" t="n"/>
      <c r="C594" s="54" t="n"/>
      <c r="D594" s="54" t="n"/>
      <c r="E594" s="54" t="n"/>
      <c r="F594" s="54" t="n"/>
      <c r="G594" s="48" t="n"/>
      <c r="H594" s="65" t="n"/>
      <c r="I594" s="54" t="n"/>
    </row>
    <row r="595">
      <c r="A595" s="42" t="n"/>
      <c r="B595" s="69" t="n"/>
      <c r="C595" s="54" t="n"/>
      <c r="D595" s="54" t="n"/>
      <c r="E595" s="59" t="n"/>
      <c r="F595" s="54" t="n"/>
      <c r="G595" s="48" t="n"/>
      <c r="H595" s="65" t="n"/>
      <c r="I595" s="54" t="n"/>
    </row>
    <row r="596">
      <c r="A596" s="42" t="n"/>
      <c r="B596" s="69" t="n"/>
      <c r="C596" s="54" t="n"/>
      <c r="D596" s="54" t="n"/>
      <c r="E596" s="59" t="n"/>
      <c r="F596" s="54" t="n"/>
      <c r="G596" s="48" t="n"/>
      <c r="H596" s="65" t="n"/>
      <c r="I596" s="54" t="n"/>
    </row>
    <row r="597">
      <c r="A597" s="42" t="n"/>
      <c r="B597" s="69" t="n"/>
      <c r="C597" s="54" t="n"/>
      <c r="D597" s="54" t="n"/>
      <c r="E597" s="59" t="n"/>
      <c r="F597" s="54" t="n"/>
      <c r="G597" s="48" t="n"/>
      <c r="H597" s="65" t="n"/>
      <c r="I597" s="54" t="n"/>
    </row>
    <row r="598">
      <c r="A598" s="42" t="n"/>
      <c r="B598" s="69" t="n"/>
      <c r="C598" s="54" t="n"/>
      <c r="D598" s="54" t="n"/>
      <c r="E598" s="59" t="n"/>
      <c r="F598" s="54" t="n"/>
      <c r="G598" s="48" t="n"/>
      <c r="H598" s="65" t="n"/>
      <c r="I598" s="54" t="n"/>
    </row>
    <row r="599">
      <c r="A599" s="42" t="n"/>
      <c r="B599" s="69" t="n"/>
      <c r="C599" s="54" t="n"/>
      <c r="D599" s="54" t="n"/>
      <c r="E599" s="59" t="n"/>
      <c r="F599" s="54" t="n"/>
      <c r="G599" s="48" t="n"/>
      <c r="H599" s="65" t="n"/>
      <c r="I599" s="54" t="n"/>
    </row>
    <row r="600">
      <c r="A600" s="42" t="n"/>
      <c r="B600" s="69" t="n"/>
      <c r="C600" s="54" t="n"/>
      <c r="D600" s="54" t="n"/>
      <c r="E600" s="59" t="n"/>
      <c r="F600" s="54" t="n"/>
      <c r="G600" s="48" t="n"/>
      <c r="H600" s="65" t="n"/>
      <c r="I600" s="54" t="n"/>
    </row>
    <row r="601">
      <c r="A601" s="42" t="n"/>
      <c r="B601" s="69" t="n"/>
      <c r="C601" s="54" t="n"/>
      <c r="D601" s="54" t="n"/>
      <c r="E601" s="59" t="n"/>
      <c r="F601" s="54" t="n"/>
      <c r="G601" s="48" t="n"/>
      <c r="H601" s="65" t="n"/>
      <c r="I601" s="54" t="n"/>
    </row>
    <row r="602">
      <c r="A602" s="42" t="n"/>
      <c r="B602" s="69" t="n"/>
    </row>
    <row r="603">
      <c r="A603" s="42" t="n"/>
      <c r="B603" s="69" t="n"/>
    </row>
    <row r="604">
      <c r="A604" s="42" t="n"/>
      <c r="B604" s="69" t="n"/>
    </row>
    <row r="605">
      <c r="A605" s="42" t="n"/>
      <c r="B605" s="69" t="n"/>
    </row>
    <row r="606">
      <c r="A606" s="42" t="n"/>
      <c r="B606" s="69" t="n"/>
    </row>
    <row r="607">
      <c r="A607" s="42" t="n"/>
      <c r="B607" s="69" t="n"/>
    </row>
  </sheetData>
  <autoFilter ref="A1:J401"/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Normal="100" workbookViewId="0">
      <selection activeCell="M14" sqref="M14"/>
    </sheetView>
  </sheetViews>
  <sheetFormatPr baseColWidth="8" defaultColWidth="8.84375" defaultRowHeight="14.6"/>
  <cols>
    <col width="45.53515625" customWidth="1" style="1" min="1" max="1"/>
    <col width="21.53515625" bestFit="1" customWidth="1" style="1" min="2" max="2"/>
    <col width="13.84375" customWidth="1" style="1" min="3" max="3"/>
    <col width="14.15234375" customWidth="1" style="1" min="4" max="4"/>
    <col width="15.53515625" customWidth="1" style="1" min="5" max="5"/>
    <col width="13.84375" customWidth="1" style="60" min="6" max="6"/>
    <col width="26.15234375" customWidth="1" style="60" min="7" max="7"/>
    <col width="18.4609375" customWidth="1" style="1" min="13" max="13"/>
    <col width="14.765625" bestFit="1" customWidth="1" style="1" min="14" max="14"/>
    <col width="10.53515625" bestFit="1" customWidth="1" style="1" min="15" max="15"/>
  </cols>
  <sheetData>
    <row r="1" ht="96.45" customFormat="1" customHeight="1" s="7">
      <c r="A1" s="44" t="inlineStr">
        <is>
          <t xml:space="preserve">Log Automate Studio 24.1
SAP System: Client: SAP User - Q01:400:MMASTER
Script Name   -   ZMPS3_S4H.Txr
Mode - Standard (Non Batch without controls)
Start Row   -   2 End Row   -   0
Number of Errors   -   543 Records Uploaded   -   57
Date and Time   -   10/07/2026 15:04:10
Execution Time   -   0:01:11
Run Reason   -    </t>
        </is>
      </c>
      <c r="B1" s="61" t="inlineStr">
        <is>
          <t>Material Number
RMMG1-MATNR</t>
        </is>
      </c>
      <c r="C1" s="61" t="inlineStr">
        <is>
          <t>Sales Organization
RMMG1-VKORG</t>
        </is>
      </c>
      <c r="D1" s="61" t="inlineStr">
        <is>
          <t>Distribution Channel
RMMG1-VTWEG</t>
        </is>
      </c>
      <c r="E1" s="61" t="inlineStr">
        <is>
          <t>Delivering Plant (Own or External)
MVKE-DWERK</t>
        </is>
      </c>
      <c r="F1" s="63" t="inlineStr">
        <is>
          <t>Material Pricing Group
MVKE-KONDM</t>
        </is>
      </c>
      <c r="G1" s="63" t="inlineStr">
        <is>
          <t>Product hierarchy
MVKE-PRODH</t>
        </is>
      </c>
      <c r="M1" s="71" t="inlineStr">
        <is>
          <t>No of materials</t>
        </is>
      </c>
      <c r="N1" s="71" t="inlineStr">
        <is>
          <t>Entries per material</t>
        </is>
      </c>
      <c r="O1" s="71" t="inlineStr">
        <is>
          <t>Drag it to row</t>
        </is>
      </c>
    </row>
    <row r="2" customFormat="1" s="7">
      <c r="A2" s="8" t="n"/>
      <c r="B2" s="62">
        <f t="array" ref="B2">INDEX(Sheet2!B:B,ROW())</f>
        <v/>
      </c>
      <c r="C2" s="9">
        <f t="array" ref="C2">INDEX(Sheet2!D:D,ROW())</f>
        <v/>
      </c>
      <c r="D2" s="9">
        <f>"13"</f>
        <v/>
      </c>
      <c r="E2" s="37">
        <f t="array" ref="E2">INDEX(Sheet2!F:F,ROW())</f>
        <v/>
      </c>
      <c r="F2" s="48">
        <f t="array" ref="F2">INDEX('BIE Creation Sheet'!X:X,INT((ROW()-2)/25)+2)</f>
        <v/>
      </c>
      <c r="G2" s="64">
        <f t="array" ref="G2">INDEX('BIE Creation Sheet'!R:R,INT((ROW()-2)/25)+2)</f>
        <v/>
      </c>
      <c r="H2" s="6" t="inlineStr">
        <is>
          <t>Add language Descriptions manually after creation</t>
        </is>
      </c>
      <c r="M2" s="72" t="n"/>
      <c r="N2" s="72" t="n"/>
      <c r="O2" s="72" t="n"/>
    </row>
    <row r="3" customFormat="1" s="7">
      <c r="A3" s="8" t="n"/>
      <c r="B3" s="62">
        <f t="array" ref="B3">INDEX(Sheet2!B:B,ROW())</f>
        <v/>
      </c>
      <c r="C3" s="9">
        <f t="array" ref="C3">INDEX(Sheet2!D:D,ROW())</f>
        <v/>
      </c>
      <c r="D3" s="9">
        <f>"13"</f>
        <v/>
      </c>
      <c r="E3" s="37">
        <f t="array" ref="E3">INDEX(Sheet2!F:F,ROW())</f>
        <v/>
      </c>
      <c r="F3" s="48">
        <f t="array" ref="F3">INDEX('BIE Creation Sheet'!X:X,INT((ROW()-2)/25)+2)</f>
        <v/>
      </c>
      <c r="G3" s="64">
        <f t="array" ref="G3">INDEX('BIE Creation Sheet'!R:R,INT((ROW()-2)/25)+2)</f>
        <v/>
      </c>
      <c r="M3" s="73" t="n">
        <v>2</v>
      </c>
      <c r="N3" s="73" t="n">
        <v>25</v>
      </c>
      <c r="O3" s="74">
        <f>M3*N3+1</f>
        <v/>
      </c>
    </row>
    <row r="4" customFormat="1" s="7">
      <c r="A4" s="8" t="n"/>
      <c r="B4" s="62">
        <f t="array" ref="B4">INDEX(Sheet2!B:B,ROW())</f>
        <v/>
      </c>
      <c r="C4" s="9">
        <f t="array" ref="C4">INDEX(Sheet2!D:D,ROW())</f>
        <v/>
      </c>
      <c r="D4" s="9">
        <f>"13"</f>
        <v/>
      </c>
      <c r="E4" s="37">
        <f t="array" ref="E4">INDEX(Sheet2!F:F,ROW())</f>
        <v/>
      </c>
      <c r="F4" s="48">
        <f t="array" ref="F4">INDEX('BIE Creation Sheet'!X:X,INT((ROW()-2)/25)+2)</f>
        <v/>
      </c>
      <c r="G4" s="64">
        <f t="array" ref="G4">INDEX('BIE Creation Sheet'!R:R,INT((ROW()-2)/25)+2)</f>
        <v/>
      </c>
    </row>
    <row r="5">
      <c r="A5" s="8" t="n"/>
      <c r="B5" s="62">
        <f t="array" ref="B5">INDEX(Sheet2!B:B,ROW())</f>
        <v/>
      </c>
      <c r="C5" s="9">
        <f t="array" ref="C5">INDEX(Sheet2!D:D,ROW())</f>
        <v/>
      </c>
      <c r="D5" s="9">
        <f>"13"</f>
        <v/>
      </c>
      <c r="E5" s="37">
        <f t="array" ref="E5">INDEX(Sheet2!F:F,ROW())</f>
        <v/>
      </c>
      <c r="F5" s="48">
        <f t="array" ref="F5">INDEX('BIE Creation Sheet'!X:X,INT((ROW()-2)/25)+2)</f>
        <v/>
      </c>
      <c r="G5" s="64">
        <f t="array" ref="G5">INDEX('BIE Creation Sheet'!R:R,INT((ROW()-2)/25)+2)</f>
        <v/>
      </c>
    </row>
    <row r="6">
      <c r="A6" s="8" t="n"/>
      <c r="B6" s="62">
        <f t="array" ref="B6">INDEX(Sheet2!B:B,ROW())</f>
        <v/>
      </c>
      <c r="C6" s="9">
        <f t="array" ref="C6">INDEX(Sheet2!D:D,ROW())</f>
        <v/>
      </c>
      <c r="D6" s="9">
        <f>"13"</f>
        <v/>
      </c>
      <c r="E6" s="37">
        <f t="array" ref="E6">INDEX(Sheet2!F:F,ROW())</f>
        <v/>
      </c>
      <c r="F6" s="48">
        <f t="array" ref="F6">INDEX('BIE Creation Sheet'!X:X,INT((ROW()-2)/25)+2)</f>
        <v/>
      </c>
      <c r="G6" s="64">
        <f t="array" ref="G6">INDEX('BIE Creation Sheet'!R:R,INT((ROW()-2)/25)+2)</f>
        <v/>
      </c>
    </row>
    <row r="7">
      <c r="A7" s="8" t="n"/>
      <c r="B7" s="62">
        <f t="array" ref="B7">INDEX(Sheet2!B:B,ROW())</f>
        <v/>
      </c>
      <c r="C7" s="9">
        <f t="array" ref="C7">INDEX(Sheet2!D:D,ROW())</f>
        <v/>
      </c>
      <c r="D7" s="9">
        <f>"13"</f>
        <v/>
      </c>
      <c r="E7" s="37">
        <f t="array" ref="E7">INDEX(Sheet2!F:F,ROW())</f>
        <v/>
      </c>
      <c r="F7" s="48">
        <f t="array" ref="F7">INDEX('BIE Creation Sheet'!X:X,INT((ROW()-2)/25)+2)</f>
        <v/>
      </c>
      <c r="G7" s="64">
        <f t="array" ref="G7">INDEX('BIE Creation Sheet'!R:R,INT((ROW()-2)/25)+2)</f>
        <v/>
      </c>
    </row>
    <row r="8">
      <c r="A8" s="8" t="n"/>
      <c r="B8" s="62">
        <f t="array" ref="B8">INDEX(Sheet2!B:B,ROW())</f>
        <v/>
      </c>
      <c r="C8" s="9">
        <f t="array" ref="C8">INDEX(Sheet2!D:D,ROW())</f>
        <v/>
      </c>
      <c r="D8" s="9">
        <f>"13"</f>
        <v/>
      </c>
      <c r="E8" s="37">
        <f t="array" ref="E8">INDEX(Sheet2!F:F,ROW())</f>
        <v/>
      </c>
      <c r="F8" s="48">
        <f t="array" ref="F8">INDEX('BIE Creation Sheet'!X:X,INT((ROW()-2)/25)+2)</f>
        <v/>
      </c>
      <c r="G8" s="64">
        <f t="array" ref="G8">INDEX('BIE Creation Sheet'!R:R,INT((ROW()-2)/25)+2)</f>
        <v/>
      </c>
    </row>
    <row r="9">
      <c r="A9" s="8" t="n"/>
      <c r="B9" s="62">
        <f t="array" ref="B9">INDEX(Sheet2!B:B,ROW())</f>
        <v/>
      </c>
      <c r="C9" s="9">
        <f t="array" ref="C9">INDEX(Sheet2!D:D,ROW())</f>
        <v/>
      </c>
      <c r="D9" s="9">
        <f>"13"</f>
        <v/>
      </c>
      <c r="E9" s="37">
        <f t="array" ref="E9">INDEX(Sheet2!F:F,ROW())</f>
        <v/>
      </c>
      <c r="F9" s="48">
        <f t="array" ref="F9">INDEX('BIE Creation Sheet'!X:X,INT((ROW()-2)/25)+2)</f>
        <v/>
      </c>
      <c r="G9" s="64">
        <f t="array" ref="G9">INDEX('BIE Creation Sheet'!R:R,INT((ROW()-2)/25)+2)</f>
        <v/>
      </c>
    </row>
    <row r="10">
      <c r="A10" s="8" t="n"/>
      <c r="B10" s="62">
        <f t="array" ref="B10">INDEX(Sheet2!B:B,ROW())</f>
        <v/>
      </c>
      <c r="C10" s="9">
        <f t="array" ref="C10">INDEX(Sheet2!D:D,ROW())</f>
        <v/>
      </c>
      <c r="D10" s="9">
        <f>"13"</f>
        <v/>
      </c>
      <c r="E10" s="37">
        <f t="array" ref="E10">INDEX(Sheet2!F:F,ROW())</f>
        <v/>
      </c>
      <c r="F10" s="48">
        <f t="array" ref="F10">INDEX('BIE Creation Sheet'!X:X,INT((ROW()-2)/25)+2)</f>
        <v/>
      </c>
      <c r="G10" s="64">
        <f t="array" ref="G10">INDEX('BIE Creation Sheet'!R:R,INT((ROW()-2)/25)+2)</f>
        <v/>
      </c>
    </row>
    <row r="11">
      <c r="A11" s="42" t="n"/>
      <c r="B11" s="62">
        <f t="array" ref="B11">INDEX(Sheet2!B:B,ROW())</f>
        <v/>
      </c>
      <c r="C11" s="9">
        <f t="array" ref="C11">INDEX(Sheet2!D:D,ROW())</f>
        <v/>
      </c>
      <c r="D11" s="9">
        <f>"13"</f>
        <v/>
      </c>
      <c r="E11" s="37">
        <f t="array" ref="E11">INDEX(Sheet2!F:F,ROW())</f>
        <v/>
      </c>
      <c r="F11" s="48">
        <f t="array" ref="F11">INDEX('BIE Creation Sheet'!X:X,INT((ROW()-2)/25)+2)</f>
        <v/>
      </c>
      <c r="G11" s="64">
        <f t="array" ref="G11">INDEX('BIE Creation Sheet'!R:R,INT((ROW()-2)/25)+2)</f>
        <v/>
      </c>
    </row>
    <row r="12">
      <c r="A12" s="8" t="n"/>
      <c r="B12" s="62">
        <f t="array" ref="B12">INDEX(Sheet2!B:B,ROW())</f>
        <v/>
      </c>
      <c r="C12" s="9">
        <f t="array" ref="C12">INDEX(Sheet2!D:D,ROW())</f>
        <v/>
      </c>
      <c r="D12" s="9">
        <f>"13"</f>
        <v/>
      </c>
      <c r="E12" s="37">
        <f t="array" ref="E12">INDEX(Sheet2!F:F,ROW())</f>
        <v/>
      </c>
      <c r="F12" s="48">
        <f t="array" ref="F12">INDEX('BIE Creation Sheet'!X:X,INT((ROW()-2)/25)+2)</f>
        <v/>
      </c>
      <c r="G12" s="64">
        <f t="array" ref="G12">INDEX('BIE Creation Sheet'!R:R,INT((ROW()-2)/25)+2)</f>
        <v/>
      </c>
    </row>
    <row r="13">
      <c r="A13" s="8" t="n"/>
      <c r="B13" s="62">
        <f t="array" ref="B13">INDEX(Sheet2!B:B,ROW())</f>
        <v/>
      </c>
      <c r="C13" s="9">
        <f t="array" ref="C13">INDEX(Sheet2!D:D,ROW())</f>
        <v/>
      </c>
      <c r="D13" s="9">
        <f>"13"</f>
        <v/>
      </c>
      <c r="E13" s="37">
        <f t="array" ref="E13">INDEX(Sheet2!F:F,ROW())</f>
        <v/>
      </c>
      <c r="F13" s="48">
        <f t="array" ref="F13">INDEX('BIE Creation Sheet'!X:X,INT((ROW()-2)/25)+2)</f>
        <v/>
      </c>
      <c r="G13" s="64">
        <f t="array" ref="G13">INDEX('BIE Creation Sheet'!R:R,INT((ROW()-2)/25)+2)</f>
        <v/>
      </c>
    </row>
    <row r="14">
      <c r="A14" s="8" t="n"/>
      <c r="B14" s="62">
        <f t="array" ref="B14">INDEX(Sheet2!B:B,ROW())</f>
        <v/>
      </c>
      <c r="C14" s="9">
        <f t="array" ref="C14">INDEX(Sheet2!D:D,ROW())</f>
        <v/>
      </c>
      <c r="D14" s="9">
        <f>"13"</f>
        <v/>
      </c>
      <c r="E14" s="37">
        <f t="array" ref="E14">INDEX(Sheet2!F:F,ROW())</f>
        <v/>
      </c>
      <c r="F14" s="48">
        <f t="array" ref="F14">INDEX('BIE Creation Sheet'!X:X,INT((ROW()-2)/25)+2)</f>
        <v/>
      </c>
      <c r="G14" s="64">
        <f t="array" ref="G14">INDEX('BIE Creation Sheet'!R:R,INT((ROW()-2)/25)+2)</f>
        <v/>
      </c>
    </row>
    <row r="15">
      <c r="A15" s="8" t="n"/>
      <c r="B15" s="62">
        <f t="array" ref="B15">INDEX(Sheet2!B:B,ROW())</f>
        <v/>
      </c>
      <c r="C15" s="9">
        <f t="array" ref="C15">INDEX(Sheet2!D:D,ROW())</f>
        <v/>
      </c>
      <c r="D15" s="9">
        <f>"13"</f>
        <v/>
      </c>
      <c r="E15" s="37">
        <f t="array" ref="E15">INDEX(Sheet2!F:F,ROW())</f>
        <v/>
      </c>
      <c r="F15" s="48">
        <f t="array" ref="F15">INDEX('BIE Creation Sheet'!X:X,INT((ROW()-2)/25)+2)</f>
        <v/>
      </c>
      <c r="G15" s="64">
        <f t="array" ref="G15">INDEX('BIE Creation Sheet'!R:R,INT((ROW()-2)/25)+2)</f>
        <v/>
      </c>
    </row>
    <row r="16">
      <c r="A16" s="42" t="n"/>
      <c r="B16" s="62">
        <f t="array" ref="B16">INDEX(Sheet2!B:B,ROW())</f>
        <v/>
      </c>
      <c r="C16" s="9">
        <f t="array" ref="C16">INDEX(Sheet2!D:D,ROW())</f>
        <v/>
      </c>
      <c r="D16" s="9">
        <f>"13"</f>
        <v/>
      </c>
      <c r="E16" s="37">
        <f t="array" ref="E16">INDEX(Sheet2!F:F,ROW())</f>
        <v/>
      </c>
      <c r="F16" s="48">
        <f t="array" ref="F16">INDEX('BIE Creation Sheet'!X:X,INT((ROW()-2)/25)+2)</f>
        <v/>
      </c>
      <c r="G16" s="64">
        <f t="array" ref="G16">INDEX('BIE Creation Sheet'!R:R,INT((ROW()-2)/25)+2)</f>
        <v/>
      </c>
    </row>
    <row r="17">
      <c r="A17" s="8" t="n"/>
      <c r="B17" s="62">
        <f t="array" ref="B17">INDEX(Sheet2!B:B,ROW())</f>
        <v/>
      </c>
      <c r="C17" s="9">
        <f t="array" ref="C17">INDEX(Sheet2!D:D,ROW())</f>
        <v/>
      </c>
      <c r="D17" s="9">
        <f>"13"</f>
        <v/>
      </c>
      <c r="E17" s="37">
        <f t="array" ref="E17">INDEX(Sheet2!F:F,ROW())</f>
        <v/>
      </c>
      <c r="F17" s="48">
        <f t="array" ref="F17">INDEX('BIE Creation Sheet'!X:X,INT((ROW()-2)/25)+2)</f>
        <v/>
      </c>
      <c r="G17" s="64">
        <f t="array" ref="G17">INDEX('BIE Creation Sheet'!R:R,INT((ROW()-2)/25)+2)</f>
        <v/>
      </c>
    </row>
    <row r="18">
      <c r="A18" s="8" t="n"/>
      <c r="B18" s="62">
        <f t="array" ref="B18">INDEX(Sheet2!B:B,ROW())</f>
        <v/>
      </c>
      <c r="C18" s="9">
        <f t="array" ref="C18">INDEX(Sheet2!D:D,ROW())</f>
        <v/>
      </c>
      <c r="D18" s="9">
        <f>"13"</f>
        <v/>
      </c>
      <c r="E18" s="37">
        <f t="array" ref="E18">INDEX(Sheet2!F:F,ROW())</f>
        <v/>
      </c>
      <c r="F18" s="48">
        <f t="array" ref="F18">INDEX('BIE Creation Sheet'!X:X,INT((ROW()-2)/25)+2)</f>
        <v/>
      </c>
      <c r="G18" s="64">
        <f t="array" ref="G18">INDEX('BIE Creation Sheet'!R:R,INT((ROW()-2)/25)+2)</f>
        <v/>
      </c>
    </row>
    <row r="19">
      <c r="A19" s="8" t="n"/>
      <c r="B19" s="62">
        <f t="array" ref="B19">INDEX(Sheet2!B:B,ROW())</f>
        <v/>
      </c>
      <c r="C19" s="9">
        <f t="array" ref="C19">INDEX(Sheet2!D:D,ROW())</f>
        <v/>
      </c>
      <c r="D19" s="9">
        <f>"13"</f>
        <v/>
      </c>
      <c r="E19" s="37">
        <f t="array" ref="E19">INDEX(Sheet2!F:F,ROW())</f>
        <v/>
      </c>
      <c r="F19" s="48">
        <f t="array" ref="F19">INDEX('BIE Creation Sheet'!X:X,INT((ROW()-2)/25)+2)</f>
        <v/>
      </c>
      <c r="G19" s="64">
        <f t="array" ref="G19">INDEX('BIE Creation Sheet'!R:R,INT((ROW()-2)/25)+2)</f>
        <v/>
      </c>
    </row>
    <row r="20">
      <c r="A20" s="8" t="n"/>
      <c r="B20" s="62">
        <f t="array" ref="B20">INDEX(Sheet2!B:B,ROW())</f>
        <v/>
      </c>
      <c r="C20" s="9">
        <f t="array" ref="C20">INDEX(Sheet2!D:D,ROW())</f>
        <v/>
      </c>
      <c r="D20" s="9">
        <f>"13"</f>
        <v/>
      </c>
      <c r="E20" s="37">
        <f t="array" ref="E20">INDEX(Sheet2!F:F,ROW())</f>
        <v/>
      </c>
      <c r="F20" s="48">
        <f t="array" ref="F20">INDEX('BIE Creation Sheet'!X:X,INT((ROW()-2)/25)+2)</f>
        <v/>
      </c>
      <c r="G20" s="64">
        <f t="array" ref="G20">INDEX('BIE Creation Sheet'!R:R,INT((ROW()-2)/25)+2)</f>
        <v/>
      </c>
    </row>
    <row r="21">
      <c r="A21" s="8" t="n"/>
      <c r="B21" s="62">
        <f t="array" ref="B21">INDEX(Sheet2!B:B,ROW())</f>
        <v/>
      </c>
      <c r="C21" s="9">
        <f t="array" ref="C21">INDEX(Sheet2!D:D,ROW())</f>
        <v/>
      </c>
      <c r="D21" s="9">
        <f>"13"</f>
        <v/>
      </c>
      <c r="E21" s="37">
        <f t="array" ref="E21">INDEX(Sheet2!F:F,ROW())</f>
        <v/>
      </c>
      <c r="F21" s="48">
        <f t="array" ref="F21">INDEX('BIE Creation Sheet'!X:X,INT((ROW()-2)/25)+2)</f>
        <v/>
      </c>
      <c r="G21" s="64">
        <f t="array" ref="G21">INDEX('BIE Creation Sheet'!R:R,INT((ROW()-2)/25)+2)</f>
        <v/>
      </c>
    </row>
    <row r="22">
      <c r="A22" s="8" t="n"/>
      <c r="B22" s="62">
        <f t="array" ref="B22">INDEX(Sheet2!B:B,ROW())</f>
        <v/>
      </c>
      <c r="C22" s="9">
        <f t="array" ref="C22">INDEX(Sheet2!D:D,ROW())</f>
        <v/>
      </c>
      <c r="D22" s="9">
        <f>"13"</f>
        <v/>
      </c>
      <c r="E22" s="37">
        <f t="array" ref="E22">INDEX(Sheet2!F:F,ROW())</f>
        <v/>
      </c>
      <c r="F22" s="48">
        <f t="array" ref="F22">INDEX('BIE Creation Sheet'!X:X,INT((ROW()-2)/25)+2)</f>
        <v/>
      </c>
      <c r="G22" s="64">
        <f t="array" ref="G22">INDEX('BIE Creation Sheet'!R:R,INT((ROW()-2)/25)+2)</f>
        <v/>
      </c>
    </row>
    <row r="23">
      <c r="A23" s="42" t="n"/>
      <c r="B23" s="62">
        <f t="array" ref="B23">INDEX(Sheet2!B:B,ROW())</f>
        <v/>
      </c>
      <c r="C23" s="9">
        <f t="array" ref="C23">INDEX(Sheet2!D:D,ROW())</f>
        <v/>
      </c>
      <c r="D23" s="9">
        <f>"13"</f>
        <v/>
      </c>
      <c r="E23" s="37">
        <f t="array" ref="E23">INDEX(Sheet2!F:F,ROW())</f>
        <v/>
      </c>
      <c r="F23" s="48">
        <f t="array" ref="F23">INDEX('BIE Creation Sheet'!X:X,INT((ROW()-2)/25)+2)</f>
        <v/>
      </c>
      <c r="G23" s="64">
        <f t="array" ref="G23">INDEX('BIE Creation Sheet'!R:R,INT((ROW()-2)/25)+2)</f>
        <v/>
      </c>
    </row>
    <row r="24">
      <c r="A24" s="42" t="n"/>
      <c r="B24" s="62">
        <f t="array" ref="B24">INDEX(Sheet2!B:B,ROW())</f>
        <v/>
      </c>
      <c r="C24" s="9">
        <f t="array" ref="C24">INDEX(Sheet2!D:D,ROW())</f>
        <v/>
      </c>
      <c r="D24" s="9">
        <f>"13"</f>
        <v/>
      </c>
      <c r="E24" s="37">
        <f t="array" ref="E24">INDEX(Sheet2!F:F,ROW())</f>
        <v/>
      </c>
      <c r="F24" s="48">
        <f t="array" ref="F24">INDEX('BIE Creation Sheet'!X:X,INT((ROW()-2)/25)+2)</f>
        <v/>
      </c>
      <c r="G24" s="64">
        <f t="array" ref="G24">INDEX('BIE Creation Sheet'!R:R,INT((ROW()-2)/25)+2)</f>
        <v/>
      </c>
    </row>
    <row r="25">
      <c r="A25" s="42" t="n"/>
      <c r="B25" s="62">
        <f t="array" ref="B25">INDEX(Sheet2!B:B,ROW())</f>
        <v/>
      </c>
      <c r="C25" s="9">
        <f t="array" ref="C25">INDEX(Sheet2!D:D,ROW())</f>
        <v/>
      </c>
      <c r="D25" s="9">
        <f>"13"</f>
        <v/>
      </c>
      <c r="E25" s="37">
        <f t="array" ref="E25">INDEX(Sheet2!F:F,ROW())</f>
        <v/>
      </c>
      <c r="F25" s="48">
        <f t="array" ref="F25">INDEX('BIE Creation Sheet'!X:X,INT((ROW()-2)/25)+2)</f>
        <v/>
      </c>
      <c r="G25" s="64">
        <f t="array" ref="G25">INDEX('BIE Creation Sheet'!R:R,INT((ROW()-2)/25)+2)</f>
        <v/>
      </c>
    </row>
    <row r="26">
      <c r="A26" s="42" t="n"/>
      <c r="B26" s="62">
        <f t="array" ref="B26">INDEX(Sheet2!B:B,ROW())</f>
        <v/>
      </c>
      <c r="C26" s="9">
        <f t="array" ref="C26">INDEX(Sheet2!D:D,ROW())</f>
        <v/>
      </c>
      <c r="D26" s="9">
        <f>"13"</f>
        <v/>
      </c>
      <c r="E26" s="37">
        <f t="array" ref="E26">INDEX(Sheet2!F:F,ROW())</f>
        <v/>
      </c>
      <c r="F26" s="48">
        <f t="array" ref="F26">INDEX('BIE Creation Sheet'!X:X,INT((ROW()-2)/25)+2)</f>
        <v/>
      </c>
      <c r="G26" s="64">
        <f t="array" ref="G26">INDEX('BIE Creation Sheet'!R:R,INT((ROW()-2)/25)+2)</f>
        <v/>
      </c>
    </row>
    <row r="27">
      <c r="A27" s="8" t="n"/>
      <c r="B27" s="62">
        <f t="array" ref="B27">INDEX(Sheet2!B:B,ROW())</f>
        <v/>
      </c>
      <c r="C27" s="9">
        <f t="array" ref="C27">INDEX(Sheet2!D:D,ROW())</f>
        <v/>
      </c>
      <c r="D27" s="9">
        <f>"13"</f>
        <v/>
      </c>
      <c r="E27" s="37">
        <f t="array" ref="E27">INDEX(Sheet2!F:F,ROW())</f>
        <v/>
      </c>
      <c r="F27" s="48">
        <f t="array" ref="F27">INDEX('BIE Creation Sheet'!X:X,INT((ROW()-2)/25)+2)</f>
        <v/>
      </c>
      <c r="G27" s="64">
        <f t="array" ref="G27">INDEX('BIE Creation Sheet'!R:R,INT((ROW()-2)/25)+2)</f>
        <v/>
      </c>
    </row>
    <row r="28">
      <c r="A28" s="8" t="n"/>
      <c r="B28" s="62">
        <f t="array" ref="B28">INDEX(Sheet2!B:B,ROW())</f>
        <v/>
      </c>
      <c r="C28" s="9">
        <f t="array" ref="C28">INDEX(Sheet2!D:D,ROW())</f>
        <v/>
      </c>
      <c r="D28" s="9">
        <f>"13"</f>
        <v/>
      </c>
      <c r="E28" s="37">
        <f t="array" ref="E28">INDEX(Sheet2!F:F,ROW())</f>
        <v/>
      </c>
      <c r="F28" s="48">
        <f t="array" ref="F28">INDEX('BIE Creation Sheet'!X:X,INT((ROW()-2)/25)+2)</f>
        <v/>
      </c>
      <c r="G28" s="64">
        <f t="array" ref="G28">INDEX('BIE Creation Sheet'!R:R,INT((ROW()-2)/25)+2)</f>
        <v/>
      </c>
    </row>
    <row r="29">
      <c r="A29" s="8" t="n"/>
      <c r="B29" s="62">
        <f t="array" ref="B29">INDEX(Sheet2!B:B,ROW())</f>
        <v/>
      </c>
      <c r="C29" s="9">
        <f t="array" ref="C29">INDEX(Sheet2!D:D,ROW())</f>
        <v/>
      </c>
      <c r="D29" s="9">
        <f>"13"</f>
        <v/>
      </c>
      <c r="E29" s="37">
        <f t="array" ref="E29">INDEX(Sheet2!F:F,ROW())</f>
        <v/>
      </c>
      <c r="F29" s="48">
        <f t="array" ref="F29">INDEX('BIE Creation Sheet'!X:X,INT((ROW()-2)/25)+2)</f>
        <v/>
      </c>
      <c r="G29" s="64">
        <f t="array" ref="G29">INDEX('BIE Creation Sheet'!R:R,INT((ROW()-2)/25)+2)</f>
        <v/>
      </c>
    </row>
    <row r="30">
      <c r="A30" s="8" t="n"/>
      <c r="B30" s="62">
        <f t="array" ref="B30">INDEX(Sheet2!B:B,ROW())</f>
        <v/>
      </c>
      <c r="C30" s="9">
        <f t="array" ref="C30">INDEX(Sheet2!D:D,ROW())</f>
        <v/>
      </c>
      <c r="D30" s="9">
        <f>"13"</f>
        <v/>
      </c>
      <c r="E30" s="37">
        <f t="array" ref="E30">INDEX(Sheet2!F:F,ROW())</f>
        <v/>
      </c>
      <c r="F30" s="48">
        <f t="array" ref="F30">INDEX('BIE Creation Sheet'!X:X,INT((ROW()-2)/25)+2)</f>
        <v/>
      </c>
      <c r="G30" s="64">
        <f t="array" ref="G30">INDEX('BIE Creation Sheet'!R:R,INT((ROW()-2)/25)+2)</f>
        <v/>
      </c>
    </row>
    <row r="31">
      <c r="A31" s="8" t="n"/>
      <c r="B31" s="62">
        <f t="array" ref="B31">INDEX(Sheet2!B:B,ROW())</f>
        <v/>
      </c>
      <c r="C31" s="9">
        <f t="array" ref="C31">INDEX(Sheet2!D:D,ROW())</f>
        <v/>
      </c>
      <c r="D31" s="9">
        <f>"13"</f>
        <v/>
      </c>
      <c r="E31" s="37">
        <f t="array" ref="E31">INDEX(Sheet2!F:F,ROW())</f>
        <v/>
      </c>
      <c r="F31" s="48">
        <f t="array" ref="F31">INDEX('BIE Creation Sheet'!X:X,INT((ROW()-2)/25)+2)</f>
        <v/>
      </c>
      <c r="G31" s="64">
        <f t="array" ref="G31">INDEX('BIE Creation Sheet'!R:R,INT((ROW()-2)/25)+2)</f>
        <v/>
      </c>
    </row>
    <row r="32">
      <c r="A32" s="8" t="n"/>
      <c r="B32" s="62">
        <f t="array" ref="B32">INDEX(Sheet2!B:B,ROW())</f>
        <v/>
      </c>
      <c r="C32" s="9">
        <f t="array" ref="C32">INDEX(Sheet2!D:D,ROW())</f>
        <v/>
      </c>
      <c r="D32" s="9">
        <f>"13"</f>
        <v/>
      </c>
      <c r="E32" s="37">
        <f t="array" ref="E32">INDEX(Sheet2!F:F,ROW())</f>
        <v/>
      </c>
      <c r="F32" s="48">
        <f t="array" ref="F32">INDEX('BIE Creation Sheet'!X:X,INT((ROW()-2)/25)+2)</f>
        <v/>
      </c>
      <c r="G32" s="64">
        <f t="array" ref="G32">INDEX('BIE Creation Sheet'!R:R,INT((ROW()-2)/25)+2)</f>
        <v/>
      </c>
    </row>
    <row r="33">
      <c r="A33" s="8" t="n"/>
      <c r="B33" s="62">
        <f t="array" ref="B33">INDEX(Sheet2!B:B,ROW())</f>
        <v/>
      </c>
      <c r="C33" s="9">
        <f t="array" ref="C33">INDEX(Sheet2!D:D,ROW())</f>
        <v/>
      </c>
      <c r="D33" s="9">
        <f>"13"</f>
        <v/>
      </c>
      <c r="E33" s="37">
        <f t="array" ref="E33">INDEX(Sheet2!F:F,ROW())</f>
        <v/>
      </c>
      <c r="F33" s="48">
        <f t="array" ref="F33">INDEX('BIE Creation Sheet'!X:X,INT((ROW()-2)/25)+2)</f>
        <v/>
      </c>
      <c r="G33" s="64">
        <f t="array" ref="G33">INDEX('BIE Creation Sheet'!R:R,INT((ROW()-2)/25)+2)</f>
        <v/>
      </c>
    </row>
    <row r="34">
      <c r="A34" s="8" t="n"/>
      <c r="B34" s="62">
        <f t="array" ref="B34">INDEX(Sheet2!B:B,ROW())</f>
        <v/>
      </c>
      <c r="C34" s="9">
        <f t="array" ref="C34">INDEX(Sheet2!D:D,ROW())</f>
        <v/>
      </c>
      <c r="D34" s="9">
        <f>"13"</f>
        <v/>
      </c>
      <c r="E34" s="37">
        <f t="array" ref="E34">INDEX(Sheet2!F:F,ROW())</f>
        <v/>
      </c>
      <c r="F34" s="48">
        <f t="array" ref="F34">INDEX('BIE Creation Sheet'!X:X,INT((ROW()-2)/25)+2)</f>
        <v/>
      </c>
      <c r="G34" s="64">
        <f t="array" ref="G34">INDEX('BIE Creation Sheet'!R:R,INT((ROW()-2)/25)+2)</f>
        <v/>
      </c>
    </row>
    <row r="35">
      <c r="A35" s="8" t="n"/>
      <c r="B35" s="62">
        <f t="array" ref="B35">INDEX(Sheet2!B:B,ROW())</f>
        <v/>
      </c>
      <c r="C35" s="9">
        <f t="array" ref="C35">INDEX(Sheet2!D:D,ROW())</f>
        <v/>
      </c>
      <c r="D35" s="9">
        <f>"13"</f>
        <v/>
      </c>
      <c r="E35" s="37">
        <f t="array" ref="E35">INDEX(Sheet2!F:F,ROW())</f>
        <v/>
      </c>
      <c r="F35" s="48">
        <f t="array" ref="F35">INDEX('BIE Creation Sheet'!X:X,INT((ROW()-2)/25)+2)</f>
        <v/>
      </c>
      <c r="G35" s="64">
        <f t="array" ref="G35">INDEX('BIE Creation Sheet'!R:R,INT((ROW()-2)/25)+2)</f>
        <v/>
      </c>
    </row>
    <row r="36">
      <c r="A36" s="42" t="n"/>
      <c r="B36" s="62">
        <f t="array" ref="B36">INDEX(Sheet2!B:B,ROW())</f>
        <v/>
      </c>
      <c r="C36" s="9">
        <f t="array" ref="C36">INDEX(Sheet2!D:D,ROW())</f>
        <v/>
      </c>
      <c r="D36" s="9">
        <f>"13"</f>
        <v/>
      </c>
      <c r="E36" s="37">
        <f t="array" ref="E36">INDEX(Sheet2!F:F,ROW())</f>
        <v/>
      </c>
      <c r="F36" s="48">
        <f t="array" ref="F36">INDEX('BIE Creation Sheet'!X:X,INT((ROW()-2)/25)+2)</f>
        <v/>
      </c>
      <c r="G36" s="64">
        <f t="array" ref="G36">INDEX('BIE Creation Sheet'!R:R,INT((ROW()-2)/25)+2)</f>
        <v/>
      </c>
    </row>
    <row r="37">
      <c r="A37" s="8" t="n"/>
      <c r="B37" s="62">
        <f t="array" ref="B37">INDEX(Sheet2!B:B,ROW())</f>
        <v/>
      </c>
      <c r="C37" s="9">
        <f t="array" ref="C37">INDEX(Sheet2!D:D,ROW())</f>
        <v/>
      </c>
      <c r="D37" s="9">
        <f>"13"</f>
        <v/>
      </c>
      <c r="E37" s="37">
        <f t="array" ref="E37">INDEX(Sheet2!F:F,ROW())</f>
        <v/>
      </c>
      <c r="F37" s="48">
        <f t="array" ref="F37">INDEX('BIE Creation Sheet'!X:X,INT((ROW()-2)/25)+2)</f>
        <v/>
      </c>
      <c r="G37" s="64">
        <f t="array" ref="G37">INDEX('BIE Creation Sheet'!R:R,INT((ROW()-2)/25)+2)</f>
        <v/>
      </c>
    </row>
    <row r="38">
      <c r="A38" s="8" t="n"/>
      <c r="B38" s="62">
        <f t="array" ref="B38">INDEX(Sheet2!B:B,ROW())</f>
        <v/>
      </c>
      <c r="C38" s="9">
        <f t="array" ref="C38">INDEX(Sheet2!D:D,ROW())</f>
        <v/>
      </c>
      <c r="D38" s="9">
        <f>"13"</f>
        <v/>
      </c>
      <c r="E38" s="37">
        <f t="array" ref="E38">INDEX(Sheet2!F:F,ROW())</f>
        <v/>
      </c>
      <c r="F38" s="48">
        <f t="array" ref="F38">INDEX('BIE Creation Sheet'!X:X,INT((ROW()-2)/25)+2)</f>
        <v/>
      </c>
      <c r="G38" s="64">
        <f t="array" ref="G38">INDEX('BIE Creation Sheet'!R:R,INT((ROW()-2)/25)+2)</f>
        <v/>
      </c>
    </row>
    <row r="39">
      <c r="A39" s="8" t="n"/>
      <c r="B39" s="62">
        <f t="array" ref="B39">INDEX(Sheet2!B:B,ROW())</f>
        <v/>
      </c>
      <c r="C39" s="9">
        <f t="array" ref="C39">INDEX(Sheet2!D:D,ROW())</f>
        <v/>
      </c>
      <c r="D39" s="9">
        <f>"13"</f>
        <v/>
      </c>
      <c r="E39" s="37">
        <f t="array" ref="E39">INDEX(Sheet2!F:F,ROW())</f>
        <v/>
      </c>
      <c r="F39" s="48">
        <f t="array" ref="F39">INDEX('BIE Creation Sheet'!X:X,INT((ROW()-2)/25)+2)</f>
        <v/>
      </c>
      <c r="G39" s="64">
        <f t="array" ref="G39">INDEX('BIE Creation Sheet'!R:R,INT((ROW()-2)/25)+2)</f>
        <v/>
      </c>
    </row>
    <row r="40">
      <c r="A40" s="8" t="n"/>
      <c r="B40" s="62">
        <f t="array" ref="B40">INDEX(Sheet2!B:B,ROW())</f>
        <v/>
      </c>
      <c r="C40" s="9">
        <f t="array" ref="C40">INDEX(Sheet2!D:D,ROW())</f>
        <v/>
      </c>
      <c r="D40" s="9">
        <f>"13"</f>
        <v/>
      </c>
      <c r="E40" s="37">
        <f t="array" ref="E40">INDEX(Sheet2!F:F,ROW())</f>
        <v/>
      </c>
      <c r="F40" s="48">
        <f t="array" ref="F40">INDEX('BIE Creation Sheet'!X:X,INT((ROW()-2)/25)+2)</f>
        <v/>
      </c>
      <c r="G40" s="64">
        <f t="array" ref="G40">INDEX('BIE Creation Sheet'!R:R,INT((ROW()-2)/25)+2)</f>
        <v/>
      </c>
    </row>
    <row r="41">
      <c r="A41" s="42" t="n"/>
      <c r="B41" s="62">
        <f t="array" ref="B41">INDEX(Sheet2!B:B,ROW())</f>
        <v/>
      </c>
      <c r="C41" s="9">
        <f t="array" ref="C41">INDEX(Sheet2!D:D,ROW())</f>
        <v/>
      </c>
      <c r="D41" s="9">
        <f>"13"</f>
        <v/>
      </c>
      <c r="E41" s="37">
        <f t="array" ref="E41">INDEX(Sheet2!F:F,ROW())</f>
        <v/>
      </c>
      <c r="F41" s="48">
        <f t="array" ref="F41">INDEX('BIE Creation Sheet'!X:X,INT((ROW()-2)/25)+2)</f>
        <v/>
      </c>
      <c r="G41" s="64">
        <f t="array" ref="G41">INDEX('BIE Creation Sheet'!R:R,INT((ROW()-2)/25)+2)</f>
        <v/>
      </c>
    </row>
    <row r="42">
      <c r="A42" s="8" t="n"/>
      <c r="B42" s="62">
        <f t="array" ref="B42">INDEX(Sheet2!B:B,ROW())</f>
        <v/>
      </c>
      <c r="C42" s="9">
        <f t="array" ref="C42">INDEX(Sheet2!D:D,ROW())</f>
        <v/>
      </c>
      <c r="D42" s="9">
        <f>"13"</f>
        <v/>
      </c>
      <c r="E42" s="37">
        <f t="array" ref="E42">INDEX(Sheet2!F:F,ROW())</f>
        <v/>
      </c>
      <c r="F42" s="48">
        <f t="array" ref="F42">INDEX('BIE Creation Sheet'!X:X,INT((ROW()-2)/25)+2)</f>
        <v/>
      </c>
      <c r="G42" s="64">
        <f t="array" ref="G42">INDEX('BIE Creation Sheet'!R:R,INT((ROW()-2)/25)+2)</f>
        <v/>
      </c>
    </row>
    <row r="43">
      <c r="A43" s="8" t="n"/>
      <c r="B43" s="62">
        <f t="array" ref="B43">INDEX(Sheet2!B:B,ROW())</f>
        <v/>
      </c>
      <c r="C43" s="9">
        <f t="array" ref="C43">INDEX(Sheet2!D:D,ROW())</f>
        <v/>
      </c>
      <c r="D43" s="9">
        <f>"13"</f>
        <v/>
      </c>
      <c r="E43" s="37">
        <f t="array" ref="E43">INDEX(Sheet2!F:F,ROW())</f>
        <v/>
      </c>
      <c r="F43" s="48">
        <f t="array" ref="F43">INDEX('BIE Creation Sheet'!X:X,INT((ROW()-2)/25)+2)</f>
        <v/>
      </c>
      <c r="G43" s="64">
        <f t="array" ref="G43">INDEX('BIE Creation Sheet'!R:R,INT((ROW()-2)/25)+2)</f>
        <v/>
      </c>
    </row>
    <row r="44">
      <c r="A44" s="8" t="n"/>
      <c r="B44" s="62">
        <f t="array" ref="B44">INDEX(Sheet2!B:B,ROW())</f>
        <v/>
      </c>
      <c r="C44" s="9">
        <f t="array" ref="C44">INDEX(Sheet2!D:D,ROW())</f>
        <v/>
      </c>
      <c r="D44" s="9">
        <f>"13"</f>
        <v/>
      </c>
      <c r="E44" s="37">
        <f t="array" ref="E44">INDEX(Sheet2!F:F,ROW())</f>
        <v/>
      </c>
      <c r="F44" s="48">
        <f t="array" ref="F44">INDEX('BIE Creation Sheet'!X:X,INT((ROW()-2)/25)+2)</f>
        <v/>
      </c>
      <c r="G44" s="64">
        <f t="array" ref="G44">INDEX('BIE Creation Sheet'!R:R,INT((ROW()-2)/25)+2)</f>
        <v/>
      </c>
    </row>
    <row r="45">
      <c r="A45" s="8" t="n"/>
      <c r="B45" s="62">
        <f t="array" ref="B45">INDEX(Sheet2!B:B,ROW())</f>
        <v/>
      </c>
      <c r="C45" s="9">
        <f t="array" ref="C45">INDEX(Sheet2!D:D,ROW())</f>
        <v/>
      </c>
      <c r="D45" s="9">
        <f>"13"</f>
        <v/>
      </c>
      <c r="E45" s="37">
        <f t="array" ref="E45">INDEX(Sheet2!F:F,ROW())</f>
        <v/>
      </c>
      <c r="F45" s="48">
        <f t="array" ref="F45">INDEX('BIE Creation Sheet'!X:X,INT((ROW()-2)/25)+2)</f>
        <v/>
      </c>
      <c r="G45" s="64">
        <f t="array" ref="G45">INDEX('BIE Creation Sheet'!R:R,INT((ROW()-2)/25)+2)</f>
        <v/>
      </c>
    </row>
    <row r="46">
      <c r="A46" s="8" t="n"/>
      <c r="B46" s="62">
        <f t="array" ref="B46">INDEX(Sheet2!B:B,ROW())</f>
        <v/>
      </c>
      <c r="C46" s="9">
        <f t="array" ref="C46">INDEX(Sheet2!D:D,ROW())</f>
        <v/>
      </c>
      <c r="D46" s="9">
        <f>"13"</f>
        <v/>
      </c>
      <c r="E46" s="37">
        <f t="array" ref="E46">INDEX(Sheet2!F:F,ROW())</f>
        <v/>
      </c>
      <c r="F46" s="48">
        <f t="array" ref="F46">INDEX('BIE Creation Sheet'!X:X,INT((ROW()-2)/25)+2)</f>
        <v/>
      </c>
      <c r="G46" s="64">
        <f t="array" ref="G46">INDEX('BIE Creation Sheet'!R:R,INT((ROW()-2)/25)+2)</f>
        <v/>
      </c>
    </row>
    <row r="47">
      <c r="A47" s="8" t="n"/>
      <c r="B47" s="62">
        <f t="array" ref="B47">INDEX(Sheet2!B:B,ROW())</f>
        <v/>
      </c>
      <c r="C47" s="9">
        <f t="array" ref="C47">INDEX(Sheet2!D:D,ROW())</f>
        <v/>
      </c>
      <c r="D47" s="9">
        <f>"13"</f>
        <v/>
      </c>
      <c r="E47" s="37">
        <f t="array" ref="E47">INDEX(Sheet2!F:F,ROW())</f>
        <v/>
      </c>
      <c r="F47" s="48">
        <f t="array" ref="F47">INDEX('BIE Creation Sheet'!X:X,INT((ROW()-2)/25)+2)</f>
        <v/>
      </c>
      <c r="G47" s="64">
        <f t="array" ref="G47">INDEX('BIE Creation Sheet'!R:R,INT((ROW()-2)/25)+2)</f>
        <v/>
      </c>
    </row>
    <row r="48">
      <c r="A48" s="42" t="n"/>
      <c r="B48" s="62">
        <f t="array" ref="B48">INDEX(Sheet2!B:B,ROW())</f>
        <v/>
      </c>
      <c r="C48" s="9">
        <f t="array" ref="C48">INDEX(Sheet2!D:D,ROW())</f>
        <v/>
      </c>
      <c r="D48" s="9">
        <f>"13"</f>
        <v/>
      </c>
      <c r="E48" s="37">
        <f t="array" ref="E48">INDEX(Sheet2!F:F,ROW())</f>
        <v/>
      </c>
      <c r="F48" s="48">
        <f t="array" ref="F48">INDEX('BIE Creation Sheet'!X:X,INT((ROW()-2)/25)+2)</f>
        <v/>
      </c>
      <c r="G48" s="64">
        <f t="array" ref="G48">INDEX('BIE Creation Sheet'!R:R,INT((ROW()-2)/25)+2)</f>
        <v/>
      </c>
    </row>
    <row r="49">
      <c r="A49" s="42" t="n"/>
      <c r="B49" s="62">
        <f t="array" ref="B49">INDEX(Sheet2!B:B,ROW())</f>
        <v/>
      </c>
      <c r="C49" s="9">
        <f t="array" ref="C49">INDEX(Sheet2!D:D,ROW())</f>
        <v/>
      </c>
      <c r="D49" s="9">
        <f>"13"</f>
        <v/>
      </c>
      <c r="E49" s="37">
        <f t="array" ref="E49">INDEX(Sheet2!F:F,ROW())</f>
        <v/>
      </c>
      <c r="F49" s="48">
        <f t="array" ref="F49">INDEX('BIE Creation Sheet'!X:X,INT((ROW()-2)/25)+2)</f>
        <v/>
      </c>
      <c r="G49" s="64">
        <f t="array" ref="G49">INDEX('BIE Creation Sheet'!R:R,INT((ROW()-2)/25)+2)</f>
        <v/>
      </c>
    </row>
    <row r="50">
      <c r="A50" s="42" t="n"/>
      <c r="B50" s="62">
        <f t="array" ref="B50">INDEX(Sheet2!B:B,ROW())</f>
        <v/>
      </c>
      <c r="C50" s="9">
        <f t="array" ref="C50">INDEX(Sheet2!D:D,ROW())</f>
        <v/>
      </c>
      <c r="D50" s="9">
        <f>"13"</f>
        <v/>
      </c>
      <c r="E50" s="37">
        <f t="array" ref="E50">INDEX(Sheet2!F:F,ROW())</f>
        <v/>
      </c>
      <c r="F50" s="48">
        <f t="array" ref="F50">INDEX('BIE Creation Sheet'!X:X,INT((ROW()-2)/25)+2)</f>
        <v/>
      </c>
      <c r="G50" s="64">
        <f t="array" ref="G50">INDEX('BIE Creation Sheet'!R:R,INT((ROW()-2)/25)+2)</f>
        <v/>
      </c>
    </row>
    <row r="51">
      <c r="A51" s="42" t="n"/>
      <c r="B51" s="62">
        <f t="array" ref="B51">INDEX(Sheet2!B:B,ROW())</f>
        <v/>
      </c>
      <c r="C51" s="9">
        <f t="array" ref="C51">INDEX(Sheet2!D:D,ROW())</f>
        <v/>
      </c>
      <c r="D51" s="9">
        <f>"13"</f>
        <v/>
      </c>
      <c r="E51" s="37">
        <f t="array" ref="E51">INDEX(Sheet2!F:F,ROW())</f>
        <v/>
      </c>
      <c r="F51" s="48">
        <f t="array" ref="F51">INDEX('BIE Creation Sheet'!X:X,INT((ROW()-2)/25)+2)</f>
        <v/>
      </c>
      <c r="G51" s="64">
        <f t="array" ref="G51">INDEX('BIE Creation Sheet'!R:R,INT((ROW()-2)/25)+2)</f>
        <v/>
      </c>
    </row>
    <row r="52">
      <c r="A52" s="8" t="n"/>
      <c r="B52" s="62">
        <f t="array" ref="B52">INDEX(Sheet2!B:B,ROW())</f>
        <v/>
      </c>
      <c r="C52" s="9">
        <f t="array" ref="C52">INDEX(Sheet2!D:D,ROW())</f>
        <v/>
      </c>
      <c r="D52" s="9">
        <f>"13"</f>
        <v/>
      </c>
      <c r="E52" s="37">
        <f t="array" ref="E52">INDEX(Sheet2!F:F,ROW())</f>
        <v/>
      </c>
      <c r="F52" s="48">
        <f t="array" ref="F52">INDEX('BIE Creation Sheet'!X:X,INT((ROW()-2)/25)+2)</f>
        <v/>
      </c>
      <c r="G52" s="64">
        <f t="array" ref="G52">INDEX('BIE Creation Sheet'!R:R,INT((ROW()-2)/25)+2)</f>
        <v/>
      </c>
    </row>
    <row r="53">
      <c r="A53" s="8" t="n"/>
      <c r="B53" s="62">
        <f t="array" ref="B53">INDEX(Sheet2!B:B,ROW())</f>
        <v/>
      </c>
      <c r="C53" s="9" t="n"/>
      <c r="D53" s="9" t="n"/>
      <c r="E53" s="37" t="n"/>
      <c r="F53" s="48" t="n"/>
      <c r="G53" s="64" t="n"/>
    </row>
    <row r="54">
      <c r="A54" s="8" t="n"/>
      <c r="B54" s="62">
        <f t="array" ref="B54">INDEX(Sheet2!B:B,ROW())</f>
        <v/>
      </c>
      <c r="C54" s="9" t="n"/>
      <c r="D54" s="9" t="n"/>
      <c r="E54" s="37" t="n"/>
      <c r="F54" s="48" t="n"/>
      <c r="G54" s="64" t="n"/>
    </row>
    <row r="55">
      <c r="A55" s="8" t="n"/>
      <c r="B55" s="62">
        <f t="array" ref="B55">INDEX(Sheet2!B:B,ROW())</f>
        <v/>
      </c>
      <c r="C55" s="9" t="n"/>
      <c r="D55" s="9" t="n"/>
      <c r="E55" s="37" t="n"/>
      <c r="F55" s="48" t="n"/>
      <c r="G55" s="64" t="n"/>
    </row>
    <row r="56">
      <c r="A56" s="8" t="n"/>
      <c r="B56" s="62">
        <f t="array" ref="B56">INDEX(Sheet2!B:B,ROW())</f>
        <v/>
      </c>
      <c r="C56" s="9" t="n"/>
      <c r="D56" s="9" t="n"/>
      <c r="E56" s="37" t="n"/>
      <c r="F56" s="48" t="n"/>
      <c r="G56" s="64" t="n"/>
    </row>
    <row r="57">
      <c r="A57" s="8" t="n"/>
      <c r="B57" s="62">
        <f t="array" ref="B57">INDEX(Sheet2!B:B,ROW())</f>
        <v/>
      </c>
      <c r="C57" s="9" t="n"/>
      <c r="D57" s="9" t="n"/>
      <c r="E57" s="37" t="n"/>
      <c r="F57" s="48" t="n"/>
      <c r="G57" s="64" t="n"/>
    </row>
    <row r="58">
      <c r="A58" s="8" t="n"/>
      <c r="B58" s="62">
        <f t="array" ref="B58">INDEX(Sheet2!B:B,ROW())</f>
        <v/>
      </c>
      <c r="C58" s="9" t="n"/>
      <c r="D58" s="9" t="n"/>
      <c r="E58" s="37" t="n"/>
      <c r="F58" s="48" t="n"/>
      <c r="G58" s="64" t="n"/>
    </row>
    <row r="59">
      <c r="A59" s="8" t="n"/>
      <c r="B59" s="62">
        <f t="array" ref="B59">INDEX(Sheet2!B:B,ROW())</f>
        <v/>
      </c>
      <c r="C59" s="9" t="n"/>
      <c r="D59" s="9" t="n"/>
      <c r="E59" s="37" t="n"/>
      <c r="F59" s="48" t="n"/>
      <c r="G59" s="64" t="n"/>
    </row>
    <row r="60">
      <c r="A60" s="8" t="n"/>
      <c r="B60" s="62">
        <f t="array" ref="B60">INDEX(Sheet2!B:B,ROW())</f>
        <v/>
      </c>
      <c r="C60" s="9" t="n"/>
      <c r="D60" s="9" t="n"/>
      <c r="E60" s="37" t="n"/>
      <c r="F60" s="48" t="n"/>
      <c r="G60" s="64" t="n"/>
    </row>
    <row r="61">
      <c r="A61" s="42" t="n"/>
      <c r="B61" s="62">
        <f t="array" ref="B61">INDEX(Sheet2!B:B,ROW())</f>
        <v/>
      </c>
      <c r="C61" s="9" t="n"/>
      <c r="D61" s="9" t="n"/>
      <c r="E61" s="37" t="n"/>
      <c r="F61" s="48" t="n"/>
      <c r="G61" s="64" t="n"/>
    </row>
    <row r="62">
      <c r="A62" s="8" t="n"/>
      <c r="B62" s="62">
        <f t="array" ref="B62">INDEX(Sheet2!B:B,ROW())</f>
        <v/>
      </c>
      <c r="C62" s="9" t="n"/>
      <c r="D62" s="9" t="n"/>
      <c r="E62" s="37" t="n"/>
      <c r="F62" s="48" t="n"/>
      <c r="G62" s="64" t="n"/>
    </row>
    <row r="63">
      <c r="A63" s="8" t="n"/>
      <c r="B63" s="62">
        <f t="array" ref="B63">INDEX(Sheet2!B:B,ROW())</f>
        <v/>
      </c>
      <c r="C63" s="9" t="n"/>
      <c r="D63" s="9" t="n"/>
      <c r="E63" s="37" t="n"/>
      <c r="F63" s="48" t="n"/>
      <c r="G63" s="64" t="n"/>
    </row>
    <row r="64">
      <c r="A64" s="8" t="n"/>
      <c r="B64" s="62">
        <f t="array" ref="B64">INDEX(Sheet2!B:B,ROW())</f>
        <v/>
      </c>
      <c r="C64" s="9" t="n"/>
      <c r="D64" s="9" t="n"/>
      <c r="E64" s="37" t="n"/>
      <c r="F64" s="48" t="n"/>
      <c r="G64" s="64" t="n"/>
    </row>
    <row r="65">
      <c r="A65" s="8" t="n"/>
      <c r="B65" s="62">
        <f t="array" ref="B65">INDEX(Sheet2!B:B,ROW())</f>
        <v/>
      </c>
      <c r="C65" s="9" t="n"/>
      <c r="D65" s="9" t="n"/>
      <c r="E65" s="37" t="n"/>
      <c r="F65" s="48" t="n"/>
      <c r="G65" s="64" t="n"/>
    </row>
    <row r="66">
      <c r="A66" s="42" t="n"/>
      <c r="B66" s="62">
        <f t="array" ref="B66">INDEX(Sheet2!B:B,ROW())</f>
        <v/>
      </c>
      <c r="C66" s="9" t="n"/>
      <c r="D66" s="9" t="n"/>
      <c r="E66" s="37" t="n"/>
      <c r="F66" s="48" t="n"/>
      <c r="G66" s="64" t="n"/>
    </row>
    <row r="67">
      <c r="A67" s="8" t="n"/>
      <c r="B67" s="62">
        <f t="array" ref="B67">INDEX(Sheet2!B:B,ROW())</f>
        <v/>
      </c>
      <c r="C67" s="9" t="n"/>
      <c r="D67" s="9" t="n"/>
      <c r="E67" s="37" t="n"/>
      <c r="F67" s="48" t="n"/>
      <c r="G67" s="64" t="n"/>
    </row>
    <row r="68">
      <c r="A68" s="8" t="n"/>
      <c r="B68" s="62">
        <f t="array" ref="B68">INDEX(Sheet2!B:B,ROW())</f>
        <v/>
      </c>
      <c r="C68" s="9" t="n"/>
      <c r="D68" s="9" t="n"/>
      <c r="E68" s="37" t="n"/>
      <c r="F68" s="48" t="n"/>
      <c r="G68" s="64" t="n"/>
    </row>
    <row r="69">
      <c r="A69" s="8" t="n"/>
      <c r="B69" s="62">
        <f t="array" ref="B69">INDEX(Sheet2!B:B,ROW())</f>
        <v/>
      </c>
      <c r="C69" s="9" t="n"/>
      <c r="D69" s="9" t="n"/>
      <c r="E69" s="37" t="n"/>
      <c r="F69" s="48" t="n"/>
      <c r="G69" s="64" t="n"/>
    </row>
    <row r="70">
      <c r="A70" s="8" t="n"/>
      <c r="B70" s="62">
        <f t="array" ref="B70">INDEX(Sheet2!B:B,ROW())</f>
        <v/>
      </c>
      <c r="C70" s="9" t="n"/>
      <c r="D70" s="9" t="n"/>
      <c r="E70" s="37" t="n"/>
      <c r="F70" s="48" t="n"/>
      <c r="G70" s="64" t="n"/>
    </row>
    <row r="71">
      <c r="A71" s="8" t="n"/>
      <c r="B71" s="62">
        <f t="array" ref="B71">INDEX(Sheet2!B:B,ROW())</f>
        <v/>
      </c>
      <c r="C71" s="9" t="n"/>
      <c r="D71" s="9" t="n"/>
      <c r="E71" s="37" t="n"/>
      <c r="F71" s="48" t="n"/>
      <c r="G71" s="64" t="n"/>
    </row>
    <row r="72">
      <c r="A72" s="8" t="n"/>
      <c r="B72" s="62">
        <f t="array" ref="B72">INDEX(Sheet2!B:B,ROW())</f>
        <v/>
      </c>
      <c r="C72" s="9" t="n"/>
      <c r="D72" s="9" t="n"/>
      <c r="E72" s="37" t="n"/>
      <c r="F72" s="48" t="n"/>
      <c r="G72" s="64" t="n"/>
    </row>
    <row r="73">
      <c r="A73" s="42" t="n"/>
      <c r="B73" s="62">
        <f t="array" ref="B73">INDEX(Sheet2!B:B,ROW())</f>
        <v/>
      </c>
      <c r="C73" s="9" t="n"/>
      <c r="D73" s="9" t="n"/>
      <c r="E73" s="37" t="n"/>
      <c r="F73" s="48" t="n"/>
      <c r="G73" s="64" t="n"/>
    </row>
    <row r="74">
      <c r="A74" s="42" t="n"/>
      <c r="B74" s="62">
        <f t="array" ref="B74">INDEX(Sheet2!B:B,ROW())</f>
        <v/>
      </c>
      <c r="C74" s="9" t="n"/>
      <c r="D74" s="9" t="n"/>
      <c r="E74" s="37" t="n"/>
      <c r="F74" s="48" t="n"/>
      <c r="G74" s="64" t="n"/>
    </row>
    <row r="75">
      <c r="A75" s="42" t="n"/>
      <c r="B75" s="62">
        <f t="array" ref="B75">INDEX(Sheet2!B:B,ROW())</f>
        <v/>
      </c>
      <c r="C75" s="9" t="n"/>
      <c r="D75" s="9" t="n"/>
      <c r="E75" s="37" t="n"/>
      <c r="F75" s="48" t="n"/>
      <c r="G75" s="64" t="n"/>
    </row>
    <row r="76">
      <c r="A76" s="42" t="n"/>
      <c r="B76" s="62">
        <f t="array" ref="B76">INDEX(Sheet2!B:B,ROW())</f>
        <v/>
      </c>
      <c r="C76" s="9" t="n"/>
      <c r="D76" s="9" t="n"/>
      <c r="E76" s="37" t="n"/>
      <c r="F76" s="48" t="n"/>
      <c r="G76" s="64" t="n"/>
    </row>
    <row r="77">
      <c r="A77" s="42" t="n"/>
      <c r="B77" s="62">
        <f t="array" ref="B77">INDEX(Sheet2!B:B,ROW())</f>
        <v/>
      </c>
      <c r="C77" s="9" t="n"/>
      <c r="D77" s="9" t="n"/>
      <c r="E77" s="37" t="n"/>
      <c r="F77" s="48" t="n"/>
      <c r="G77" s="64" t="n"/>
    </row>
    <row r="78">
      <c r="A78" s="42" t="n"/>
      <c r="B78" s="62">
        <f t="array" ref="B78">INDEX(Sheet2!B:B,ROW())</f>
        <v/>
      </c>
      <c r="C78" s="9" t="n"/>
      <c r="D78" s="9" t="n"/>
      <c r="E78" s="37" t="n"/>
      <c r="F78" s="48" t="n"/>
      <c r="G78" s="64" t="n"/>
    </row>
    <row r="79">
      <c r="A79" s="42" t="n"/>
      <c r="B79" s="62">
        <f t="array" ref="B79">INDEX(Sheet2!B:B,ROW())</f>
        <v/>
      </c>
      <c r="C79" s="9" t="n"/>
      <c r="D79" s="9" t="n"/>
      <c r="E79" s="37" t="n"/>
      <c r="F79" s="48" t="n"/>
      <c r="G79" s="64" t="n"/>
    </row>
    <row r="80">
      <c r="A80" s="42" t="n"/>
      <c r="B80" s="62">
        <f t="array" ref="B80">INDEX(Sheet2!B:B,ROW())</f>
        <v/>
      </c>
      <c r="C80" s="9" t="n"/>
      <c r="D80" s="9" t="n"/>
      <c r="E80" s="37" t="n"/>
      <c r="F80" s="48" t="n"/>
      <c r="G80" s="64" t="n"/>
    </row>
    <row r="81">
      <c r="A81" s="42" t="n"/>
      <c r="B81" s="62">
        <f t="array" ref="B81">INDEX(Sheet2!B:B,ROW())</f>
        <v/>
      </c>
      <c r="C81" s="9" t="n"/>
      <c r="D81" s="9" t="n"/>
      <c r="E81" s="37" t="n"/>
      <c r="F81" s="48" t="n"/>
      <c r="G81" s="64" t="n"/>
    </row>
    <row r="82">
      <c r="A82" s="42" t="n"/>
      <c r="B82" s="62">
        <f t="array" ref="B82">INDEX(Sheet2!B:B,ROW())</f>
        <v/>
      </c>
      <c r="C82" s="9" t="n"/>
      <c r="D82" s="9" t="n"/>
      <c r="E82" s="37" t="n"/>
      <c r="F82" s="48" t="n"/>
      <c r="G82" s="64" t="n"/>
    </row>
    <row r="83">
      <c r="A83" s="42" t="n"/>
      <c r="B83" s="62">
        <f t="array" ref="B83">INDEX(Sheet2!B:B,ROW())</f>
        <v/>
      </c>
      <c r="C83" s="9" t="n"/>
      <c r="D83" s="9" t="n"/>
      <c r="E83" s="37" t="n"/>
      <c r="F83" s="48" t="n"/>
      <c r="G83" s="64" t="n"/>
    </row>
    <row r="84">
      <c r="A84" s="42" t="n"/>
      <c r="B84" s="62">
        <f t="array" ref="B84">INDEX(Sheet2!B:B,ROW())</f>
        <v/>
      </c>
      <c r="C84" s="9" t="n"/>
      <c r="D84" s="9" t="n"/>
      <c r="E84" s="37" t="n"/>
      <c r="F84" s="48" t="n"/>
      <c r="G84" s="64" t="n"/>
    </row>
    <row r="85">
      <c r="A85" s="42" t="n"/>
      <c r="B85" s="62">
        <f t="array" ref="B85">INDEX(Sheet2!B:B,ROW())</f>
        <v/>
      </c>
      <c r="C85" s="9" t="n"/>
      <c r="D85" s="9" t="n"/>
      <c r="E85" s="37" t="n"/>
      <c r="F85" s="48" t="n"/>
      <c r="G85" s="64" t="n"/>
    </row>
    <row r="86">
      <c r="A86" s="42" t="n"/>
      <c r="B86" s="62">
        <f t="array" ref="B86">INDEX(Sheet2!B:B,ROW())</f>
        <v/>
      </c>
      <c r="C86" s="9" t="n"/>
      <c r="D86" s="9" t="n"/>
      <c r="E86" s="37" t="n"/>
      <c r="F86" s="48" t="n"/>
      <c r="G86" s="64" t="n"/>
    </row>
    <row r="87">
      <c r="A87" s="42" t="n"/>
      <c r="B87" s="62">
        <f t="array" ref="B87">INDEX(Sheet2!B:B,ROW())</f>
        <v/>
      </c>
      <c r="C87" s="9" t="n"/>
      <c r="D87" s="9" t="n"/>
      <c r="E87" s="37" t="n"/>
      <c r="F87" s="48" t="n"/>
      <c r="G87" s="64" t="n"/>
    </row>
    <row r="88">
      <c r="A88" s="42" t="n"/>
      <c r="B88" s="62">
        <f t="array" ref="B88">INDEX(Sheet2!B:B,ROW())</f>
        <v/>
      </c>
      <c r="C88" s="9" t="n"/>
      <c r="D88" s="9" t="n"/>
      <c r="E88" s="37" t="n"/>
      <c r="F88" s="48" t="n"/>
      <c r="G88" s="64" t="n"/>
    </row>
    <row r="89">
      <c r="A89" s="42" t="n"/>
      <c r="B89" s="62">
        <f t="array" ref="B89">INDEX(Sheet2!B:B,ROW())</f>
        <v/>
      </c>
      <c r="C89" s="9" t="n"/>
      <c r="D89" s="9" t="n"/>
      <c r="E89" s="37" t="n"/>
      <c r="F89" s="48" t="n"/>
      <c r="G89" s="64" t="n"/>
    </row>
    <row r="90">
      <c r="A90" s="42" t="n"/>
      <c r="B90" s="62">
        <f t="array" ref="B90">INDEX(Sheet2!B:B,ROW())</f>
        <v/>
      </c>
      <c r="C90" s="9" t="n"/>
      <c r="D90" s="9" t="n"/>
      <c r="E90" s="37" t="n"/>
      <c r="F90" s="48" t="n"/>
      <c r="G90" s="64" t="n"/>
    </row>
    <row r="91">
      <c r="A91" s="42" t="n"/>
      <c r="B91" s="62">
        <f t="array" ref="B91">INDEX(Sheet2!B:B,ROW())</f>
        <v/>
      </c>
      <c r="C91" s="9" t="n"/>
      <c r="D91" s="9" t="n"/>
      <c r="E91" s="37" t="n"/>
      <c r="F91" s="48" t="n"/>
      <c r="G91" s="64" t="n"/>
    </row>
    <row r="92">
      <c r="A92" s="42" t="n"/>
      <c r="B92" s="62">
        <f t="array" ref="B92">INDEX(Sheet2!B:B,ROW())</f>
        <v/>
      </c>
      <c r="C92" s="9" t="n"/>
      <c r="D92" s="9" t="n"/>
      <c r="E92" s="37" t="n"/>
      <c r="F92" s="48" t="n"/>
      <c r="G92" s="64" t="n"/>
    </row>
    <row r="93">
      <c r="A93" s="42" t="n"/>
      <c r="B93" s="62">
        <f t="array" ref="B93">INDEX(Sheet2!B:B,ROW())</f>
        <v/>
      </c>
      <c r="C93" s="9" t="n"/>
      <c r="D93" s="9" t="n"/>
      <c r="E93" s="37" t="n"/>
      <c r="F93" s="48" t="n"/>
      <c r="G93" s="64" t="n"/>
    </row>
    <row r="94">
      <c r="A94" s="42" t="n"/>
      <c r="B94" s="62">
        <f t="array" ref="B94">INDEX(Sheet2!B:B,ROW())</f>
        <v/>
      </c>
      <c r="C94" s="9" t="n"/>
      <c r="D94" s="9" t="n"/>
      <c r="E94" s="37" t="n"/>
      <c r="F94" s="48" t="n"/>
      <c r="G94" s="64" t="n"/>
    </row>
    <row r="95">
      <c r="A95" s="42" t="n"/>
      <c r="B95" s="62">
        <f t="array" ref="B95">INDEX(Sheet2!B:B,ROW())</f>
        <v/>
      </c>
      <c r="C95" s="9" t="n"/>
      <c r="D95" s="9" t="n"/>
      <c r="E95" s="37" t="n"/>
      <c r="F95" s="48" t="n"/>
      <c r="G95" s="64" t="n"/>
    </row>
    <row r="96">
      <c r="A96" s="42" t="n"/>
      <c r="B96" s="62">
        <f t="array" ref="B96">INDEX(Sheet2!B:B,ROW())</f>
        <v/>
      </c>
      <c r="C96" s="9" t="n"/>
      <c r="D96" s="9" t="n"/>
      <c r="E96" s="37" t="n"/>
      <c r="F96" s="48" t="n"/>
      <c r="G96" s="64" t="n"/>
    </row>
    <row r="97">
      <c r="A97" s="42" t="n"/>
      <c r="B97" s="62">
        <f t="array" ref="B97">INDEX(Sheet2!B:B,ROW())</f>
        <v/>
      </c>
      <c r="C97" s="9" t="n"/>
      <c r="D97" s="9" t="n"/>
      <c r="E97" s="37" t="n"/>
      <c r="F97" s="48" t="n"/>
      <c r="G97" s="64" t="n"/>
    </row>
    <row r="98">
      <c r="A98" s="42" t="n"/>
      <c r="B98" s="62">
        <f t="array" ref="B98">INDEX(Sheet2!B:B,ROW())</f>
        <v/>
      </c>
      <c r="C98" s="9" t="n"/>
      <c r="D98" s="9" t="n"/>
      <c r="E98" s="37" t="n"/>
      <c r="F98" s="48" t="n"/>
      <c r="G98" s="64" t="n"/>
    </row>
    <row r="99">
      <c r="A99" s="42" t="n"/>
      <c r="B99" s="62">
        <f t="array" ref="B99">INDEX(Sheet2!B:B,ROW())</f>
        <v/>
      </c>
      <c r="C99" s="9" t="n"/>
      <c r="D99" s="9" t="n"/>
      <c r="E99" s="37" t="n"/>
      <c r="F99" s="48" t="n"/>
      <c r="G99" s="64" t="n"/>
    </row>
    <row r="100">
      <c r="A100" s="42" t="n"/>
      <c r="B100" s="62">
        <f t="array" ref="B100">INDEX(Sheet2!B:B,ROW())</f>
        <v/>
      </c>
      <c r="C100" s="9" t="n"/>
      <c r="D100" s="9" t="n"/>
      <c r="E100" s="37" t="n"/>
      <c r="F100" s="48" t="n"/>
      <c r="G100" s="64" t="n"/>
    </row>
    <row r="101">
      <c r="A101" s="42" t="n"/>
      <c r="B101" s="62">
        <f t="array" ref="B101">INDEX(Sheet2!B:B,ROW())</f>
        <v/>
      </c>
      <c r="C101" s="9" t="n"/>
      <c r="D101" s="9" t="n"/>
      <c r="E101" s="37" t="n"/>
      <c r="F101" s="48" t="n"/>
      <c r="G101" s="64" t="n"/>
    </row>
    <row r="102">
      <c r="A102" s="42" t="n"/>
      <c r="B102" s="62">
        <f t="array" ref="B102">INDEX(Sheet2!B:B,ROW())</f>
        <v/>
      </c>
      <c r="C102" s="9" t="n"/>
      <c r="D102" s="9" t="n"/>
      <c r="E102" s="37" t="n"/>
      <c r="F102" s="48" t="n"/>
      <c r="G102" s="64" t="n"/>
    </row>
    <row r="103">
      <c r="A103" s="42" t="n"/>
      <c r="B103" s="62">
        <f t="array" ref="B103">INDEX(Sheet2!B:B,ROW())</f>
        <v/>
      </c>
      <c r="C103" s="9" t="n"/>
      <c r="D103" s="9" t="n"/>
      <c r="E103" s="37" t="n"/>
      <c r="F103" s="48" t="n"/>
      <c r="G103" s="64" t="n"/>
    </row>
    <row r="104">
      <c r="A104" s="42" t="n"/>
      <c r="B104" s="62">
        <f t="array" ref="B104">INDEX(Sheet2!B:B,ROW())</f>
        <v/>
      </c>
      <c r="C104" s="9" t="n"/>
      <c r="D104" s="9" t="n"/>
      <c r="E104" s="37" t="n"/>
      <c r="F104" s="48" t="n"/>
      <c r="G104" s="64" t="n"/>
    </row>
    <row r="105">
      <c r="A105" s="42" t="n"/>
      <c r="B105" s="62">
        <f t="array" ref="B105">INDEX(Sheet2!B:B,ROW())</f>
        <v/>
      </c>
      <c r="C105" s="9" t="n"/>
      <c r="D105" s="9" t="n"/>
      <c r="E105" s="37" t="n"/>
      <c r="F105" s="48" t="n"/>
      <c r="G105" s="64" t="n"/>
    </row>
    <row r="106">
      <c r="A106" s="42" t="n"/>
      <c r="B106" s="62">
        <f t="array" ref="B106">INDEX(Sheet2!B:B,ROW())</f>
        <v/>
      </c>
      <c r="C106" s="9" t="n"/>
      <c r="D106" s="9" t="n"/>
      <c r="E106" s="37" t="n"/>
      <c r="F106" s="48" t="n"/>
      <c r="G106" s="64" t="n"/>
    </row>
    <row r="107">
      <c r="A107" s="42" t="n"/>
      <c r="B107" s="62">
        <f t="array" ref="B107">INDEX(Sheet2!B:B,ROW())</f>
        <v/>
      </c>
      <c r="C107" s="9" t="n"/>
      <c r="D107" s="9" t="n"/>
      <c r="E107" s="37" t="n"/>
      <c r="F107" s="48" t="n"/>
      <c r="G107" s="64" t="n"/>
    </row>
    <row r="108">
      <c r="A108" s="42" t="n"/>
      <c r="B108" s="62">
        <f t="array" ref="B108">INDEX(Sheet2!B:B,ROW())</f>
        <v/>
      </c>
      <c r="C108" s="9" t="n"/>
      <c r="D108" s="9" t="n"/>
      <c r="E108" s="37" t="n"/>
      <c r="F108" s="48" t="n"/>
      <c r="G108" s="64" t="n"/>
    </row>
    <row r="109">
      <c r="A109" s="42" t="n"/>
      <c r="B109" s="62">
        <f t="array" ref="B109">INDEX(Sheet2!B:B,ROW())</f>
        <v/>
      </c>
      <c r="C109" s="9" t="n"/>
      <c r="D109" s="9" t="n"/>
      <c r="E109" s="37" t="n"/>
      <c r="F109" s="48" t="n"/>
      <c r="G109" s="64" t="n"/>
    </row>
    <row r="110">
      <c r="A110" s="42" t="n"/>
      <c r="B110" s="62">
        <f t="array" ref="B110">INDEX(Sheet2!B:B,ROW())</f>
        <v/>
      </c>
      <c r="C110" s="9" t="n"/>
      <c r="D110" s="9" t="n"/>
      <c r="E110" s="37" t="n"/>
      <c r="F110" s="48" t="n"/>
      <c r="G110" s="64" t="n"/>
    </row>
    <row r="111">
      <c r="A111" s="42" t="n"/>
      <c r="B111" s="62">
        <f t="array" ref="B111">INDEX(Sheet2!B:B,ROW())</f>
        <v/>
      </c>
      <c r="C111" s="9" t="n"/>
      <c r="D111" s="9" t="n"/>
      <c r="E111" s="37" t="n"/>
      <c r="F111" s="48" t="n"/>
      <c r="G111" s="64" t="n"/>
    </row>
    <row r="112">
      <c r="A112" s="42" t="n"/>
      <c r="B112" s="62">
        <f t="array" ref="B112">INDEX(Sheet2!B:B,ROW())</f>
        <v/>
      </c>
      <c r="C112" s="9" t="n"/>
      <c r="D112" s="9" t="n"/>
      <c r="E112" s="37" t="n"/>
      <c r="F112" s="48" t="n"/>
      <c r="G112" s="64" t="n"/>
    </row>
    <row r="113">
      <c r="A113" s="42" t="n"/>
      <c r="B113" s="62">
        <f t="array" ref="B113">INDEX(Sheet2!B:B,ROW())</f>
        <v/>
      </c>
      <c r="C113" s="9" t="n"/>
      <c r="D113" s="9" t="n"/>
      <c r="E113" s="37" t="n"/>
      <c r="F113" s="48" t="n"/>
      <c r="G113" s="64" t="n"/>
    </row>
    <row r="114">
      <c r="A114" s="42" t="n"/>
      <c r="B114" s="62">
        <f t="array" ref="B114">INDEX(Sheet2!B:B,ROW())</f>
        <v/>
      </c>
      <c r="C114" s="9" t="n"/>
      <c r="D114" s="9" t="n"/>
      <c r="E114" s="37" t="n"/>
      <c r="F114" s="48" t="n"/>
      <c r="G114" s="64" t="n"/>
    </row>
    <row r="115">
      <c r="A115" s="42" t="n"/>
      <c r="B115" s="62">
        <f t="array" ref="B115">INDEX(Sheet2!B:B,ROW())</f>
        <v/>
      </c>
      <c r="C115" s="9" t="n"/>
      <c r="D115" s="9" t="n"/>
      <c r="E115" s="37" t="n"/>
      <c r="F115" s="48" t="n"/>
      <c r="G115" s="64" t="n"/>
    </row>
    <row r="116">
      <c r="A116" s="42" t="n"/>
      <c r="B116" s="62">
        <f t="array" ref="B116">INDEX(Sheet2!B:B,ROW())</f>
        <v/>
      </c>
      <c r="C116" s="9" t="n"/>
      <c r="D116" s="9" t="n"/>
      <c r="E116" s="37" t="n"/>
      <c r="F116" s="48" t="n"/>
      <c r="G116" s="64" t="n"/>
    </row>
    <row r="117">
      <c r="A117" s="42" t="n"/>
      <c r="B117" s="62">
        <f t="array" ref="B117">INDEX(Sheet2!B:B,ROW())</f>
        <v/>
      </c>
      <c r="C117" s="9" t="n"/>
      <c r="D117" s="9" t="n"/>
      <c r="E117" s="37" t="n"/>
      <c r="F117" s="48" t="n"/>
      <c r="G117" s="64" t="n"/>
    </row>
    <row r="118">
      <c r="A118" s="42" t="n"/>
      <c r="B118" s="62">
        <f t="array" ref="B118">INDEX(Sheet2!B:B,ROW())</f>
        <v/>
      </c>
      <c r="C118" s="9" t="n"/>
      <c r="D118" s="9" t="n"/>
      <c r="E118" s="37" t="n"/>
      <c r="F118" s="48" t="n"/>
      <c r="G118" s="64" t="n"/>
    </row>
    <row r="119">
      <c r="A119" s="42" t="n"/>
      <c r="B119" s="62">
        <f t="array" ref="B119">INDEX(Sheet2!B:B,ROW())</f>
        <v/>
      </c>
      <c r="C119" s="9" t="n"/>
      <c r="D119" s="9" t="n"/>
      <c r="E119" s="37" t="n"/>
      <c r="F119" s="48" t="n"/>
      <c r="G119" s="64" t="n"/>
    </row>
    <row r="120">
      <c r="A120" s="42" t="n"/>
      <c r="B120" s="62">
        <f t="array" ref="B120">INDEX(Sheet2!B:B,ROW())</f>
        <v/>
      </c>
      <c r="C120" s="9" t="n"/>
      <c r="D120" s="9" t="n"/>
      <c r="E120" s="37" t="n"/>
      <c r="F120" s="48" t="n"/>
      <c r="G120" s="64" t="n"/>
    </row>
    <row r="121">
      <c r="A121" s="42" t="n"/>
      <c r="B121" s="62">
        <f t="array" ref="B121">INDEX(Sheet2!B:B,ROW())</f>
        <v/>
      </c>
      <c r="C121" s="9" t="n"/>
      <c r="D121" s="9" t="n"/>
      <c r="E121" s="37" t="n"/>
      <c r="F121" s="48" t="n"/>
      <c r="G121" s="64" t="n"/>
    </row>
    <row r="122">
      <c r="A122" s="42" t="n"/>
      <c r="B122" s="62">
        <f t="array" ref="B122">INDEX(Sheet2!B:B,ROW())</f>
        <v/>
      </c>
      <c r="C122" s="9" t="n"/>
      <c r="D122" s="9" t="n"/>
      <c r="E122" s="37" t="n"/>
      <c r="F122" s="48" t="n"/>
      <c r="G122" s="64" t="n"/>
    </row>
    <row r="123">
      <c r="A123" s="42" t="n"/>
      <c r="B123" s="62">
        <f t="array" ref="B123">INDEX(Sheet2!B:B,ROW())</f>
        <v/>
      </c>
      <c r="C123" s="9" t="n"/>
      <c r="D123" s="9" t="n"/>
      <c r="E123" s="37" t="n"/>
      <c r="F123" s="48" t="n"/>
      <c r="G123" s="64" t="n"/>
    </row>
    <row r="124">
      <c r="A124" s="42" t="n"/>
      <c r="B124" s="62">
        <f t="array" ref="B124">INDEX(Sheet2!B:B,ROW())</f>
        <v/>
      </c>
      <c r="C124" s="9" t="n"/>
      <c r="D124" s="9" t="n"/>
      <c r="E124" s="37" t="n"/>
      <c r="F124" s="48" t="n"/>
      <c r="G124" s="64" t="n"/>
    </row>
    <row r="125">
      <c r="A125" s="42" t="n"/>
      <c r="B125" s="62">
        <f t="array" ref="B125">INDEX(Sheet2!B:B,ROW())</f>
        <v/>
      </c>
      <c r="C125" s="9" t="n"/>
      <c r="D125" s="9" t="n"/>
      <c r="E125" s="37" t="n"/>
      <c r="F125" s="48" t="n"/>
      <c r="G125" s="64" t="n"/>
    </row>
    <row r="126">
      <c r="A126" s="42" t="n"/>
      <c r="B126" s="62">
        <f t="array" ref="B126">INDEX(Sheet2!B:B,ROW())</f>
        <v/>
      </c>
      <c r="C126" s="9" t="n"/>
      <c r="D126" s="9" t="n"/>
      <c r="E126" s="37" t="n"/>
      <c r="F126" s="48" t="n"/>
      <c r="G126" s="64" t="n"/>
    </row>
    <row r="127">
      <c r="A127" s="42" t="n"/>
      <c r="B127" s="62">
        <f t="array" ref="B127">INDEX(Sheet2!B:B,ROW())</f>
        <v/>
      </c>
      <c r="C127" s="9" t="n"/>
      <c r="D127" s="9" t="n"/>
      <c r="E127" s="37" t="n"/>
      <c r="F127" s="48" t="n"/>
      <c r="G127" s="64" t="n"/>
    </row>
    <row r="128">
      <c r="A128" s="42" t="n"/>
      <c r="B128" s="62">
        <f t="array" ref="B128">INDEX(Sheet2!B:B,ROW())</f>
        <v/>
      </c>
      <c r="C128" s="9" t="n"/>
      <c r="D128" s="9" t="n"/>
      <c r="E128" s="37" t="n"/>
      <c r="F128" s="48" t="n"/>
      <c r="G128" s="64" t="n"/>
    </row>
    <row r="129">
      <c r="A129" s="42" t="n"/>
      <c r="B129" s="62">
        <f t="array" ref="B129">INDEX(Sheet2!B:B,ROW())</f>
        <v/>
      </c>
      <c r="C129" s="9" t="n"/>
      <c r="D129" s="9" t="n"/>
      <c r="E129" s="37" t="n"/>
      <c r="F129" s="48" t="n"/>
      <c r="G129" s="64" t="n"/>
    </row>
    <row r="130">
      <c r="A130" s="42" t="n"/>
      <c r="B130" s="62">
        <f t="array" ref="B130">INDEX(Sheet2!B:B,ROW())</f>
        <v/>
      </c>
      <c r="C130" s="9" t="n"/>
      <c r="D130" s="9" t="n"/>
      <c r="E130" s="37" t="n"/>
      <c r="F130" s="48" t="n"/>
      <c r="G130" s="64" t="n"/>
    </row>
    <row r="131">
      <c r="A131" s="42" t="n"/>
      <c r="B131" s="62">
        <f t="array" ref="B131">INDEX(Sheet2!B:B,ROW())</f>
        <v/>
      </c>
      <c r="C131" s="9" t="n"/>
      <c r="D131" s="9" t="n"/>
      <c r="E131" s="37" t="n"/>
      <c r="F131" s="48" t="n"/>
      <c r="G131" s="64" t="n"/>
    </row>
    <row r="132">
      <c r="A132" s="42" t="n"/>
      <c r="B132" s="62">
        <f t="array" ref="B132">INDEX(Sheet2!B:B,ROW())</f>
        <v/>
      </c>
      <c r="C132" s="9" t="n"/>
      <c r="D132" s="9" t="n"/>
      <c r="E132" s="37" t="n"/>
      <c r="F132" s="48" t="n"/>
      <c r="G132" s="64" t="n"/>
    </row>
    <row r="133">
      <c r="A133" s="42" t="n"/>
      <c r="B133" s="62">
        <f t="array" ref="B133">INDEX(Sheet2!B:B,ROW())</f>
        <v/>
      </c>
      <c r="C133" s="9" t="n"/>
      <c r="D133" s="9" t="n"/>
      <c r="E133" s="37" t="n"/>
      <c r="F133" s="48" t="n"/>
      <c r="G133" s="64" t="n"/>
    </row>
    <row r="134">
      <c r="A134" s="42" t="n"/>
      <c r="B134" s="62">
        <f t="array" ref="B134">INDEX(Sheet2!B:B,ROW())</f>
        <v/>
      </c>
      <c r="C134" s="9" t="n"/>
      <c r="D134" s="9" t="n"/>
      <c r="E134" s="37" t="n"/>
      <c r="F134" s="48" t="n"/>
      <c r="G134" s="64" t="n"/>
    </row>
    <row r="135">
      <c r="A135" s="42" t="n"/>
      <c r="B135" s="62">
        <f t="array" ref="B135">INDEX(Sheet2!B:B,ROW())</f>
        <v/>
      </c>
      <c r="C135" s="9" t="n"/>
      <c r="D135" s="9" t="n"/>
      <c r="E135" s="37" t="n"/>
      <c r="F135" s="48" t="n"/>
      <c r="G135" s="64" t="n"/>
    </row>
    <row r="136">
      <c r="A136" s="42" t="n"/>
      <c r="B136" s="62">
        <f t="array" ref="B136">INDEX(Sheet2!B:B,ROW())</f>
        <v/>
      </c>
      <c r="C136" s="9" t="n"/>
      <c r="D136" s="9" t="n"/>
      <c r="E136" s="37" t="n"/>
      <c r="F136" s="48" t="n"/>
      <c r="G136" s="64" t="n"/>
    </row>
    <row r="137">
      <c r="A137" s="42" t="n"/>
      <c r="B137" s="62">
        <f t="array" ref="B137">INDEX(Sheet2!B:B,ROW())</f>
        <v/>
      </c>
      <c r="C137" s="9" t="n"/>
      <c r="D137" s="9" t="n"/>
      <c r="E137" s="37" t="n"/>
      <c r="F137" s="48" t="n"/>
      <c r="G137" s="64" t="n"/>
    </row>
    <row r="138">
      <c r="A138" s="42" t="n"/>
      <c r="B138" s="62">
        <f t="array" ref="B138">INDEX(Sheet2!B:B,ROW())</f>
        <v/>
      </c>
      <c r="C138" s="9" t="n"/>
      <c r="D138" s="9" t="n"/>
      <c r="E138" s="37" t="n"/>
      <c r="F138" s="48" t="n"/>
      <c r="G138" s="64" t="n"/>
    </row>
    <row r="139">
      <c r="A139" s="42" t="n"/>
      <c r="B139" s="62">
        <f t="array" ref="B139">INDEX(Sheet2!B:B,ROW())</f>
        <v/>
      </c>
      <c r="C139" s="9" t="n"/>
      <c r="D139" s="9" t="n"/>
      <c r="E139" s="37" t="n"/>
      <c r="F139" s="48" t="n"/>
      <c r="G139" s="64" t="n"/>
    </row>
    <row r="140">
      <c r="A140" s="42" t="n"/>
      <c r="B140" s="62">
        <f t="array" ref="B140">INDEX(Sheet2!B:B,ROW())</f>
        <v/>
      </c>
      <c r="C140" s="9" t="n"/>
      <c r="D140" s="9" t="n"/>
      <c r="E140" s="37" t="n"/>
      <c r="F140" s="48" t="n"/>
      <c r="G140" s="64" t="n"/>
    </row>
    <row r="141">
      <c r="A141" s="42" t="n"/>
      <c r="B141" s="62">
        <f t="array" ref="B141">INDEX(Sheet2!B:B,ROW())</f>
        <v/>
      </c>
      <c r="C141" s="9" t="n"/>
      <c r="D141" s="9" t="n"/>
      <c r="E141" s="37" t="n"/>
      <c r="F141" s="48" t="n"/>
      <c r="G141" s="64" t="n"/>
    </row>
    <row r="142">
      <c r="A142" s="42" t="n"/>
      <c r="B142" s="62">
        <f t="array" ref="B142">INDEX(Sheet2!B:B,ROW())</f>
        <v/>
      </c>
      <c r="C142" s="9" t="n"/>
      <c r="D142" s="9" t="n"/>
      <c r="E142" s="37" t="n"/>
      <c r="F142" s="48" t="n"/>
      <c r="G142" s="64" t="n"/>
    </row>
    <row r="143">
      <c r="A143" s="42" t="n"/>
      <c r="B143" s="62">
        <f t="array" ref="B143">INDEX(Sheet2!B:B,ROW())</f>
        <v/>
      </c>
      <c r="C143" s="9" t="n"/>
      <c r="D143" s="9" t="n"/>
      <c r="E143" s="37" t="n"/>
      <c r="F143" s="48" t="n"/>
      <c r="G143" s="64" t="n"/>
    </row>
    <row r="144">
      <c r="A144" s="42" t="n"/>
      <c r="B144" s="62">
        <f t="array" ref="B144">INDEX(Sheet2!B:B,ROW())</f>
        <v/>
      </c>
      <c r="C144" s="9" t="n"/>
      <c r="D144" s="9" t="n"/>
      <c r="E144" s="37" t="n"/>
      <c r="F144" s="48" t="n"/>
      <c r="G144" s="64" t="n"/>
    </row>
    <row r="145">
      <c r="A145" s="42" t="n"/>
      <c r="B145" s="62">
        <f t="array" ref="B145">INDEX(Sheet2!B:B,ROW())</f>
        <v/>
      </c>
      <c r="C145" s="9" t="n"/>
      <c r="D145" s="9" t="n"/>
      <c r="E145" s="37" t="n"/>
      <c r="F145" s="48" t="n"/>
      <c r="G145" s="64" t="n"/>
    </row>
    <row r="146">
      <c r="A146" s="42" t="n"/>
      <c r="B146" s="62">
        <f t="array" ref="B146">INDEX(Sheet2!B:B,ROW())</f>
        <v/>
      </c>
      <c r="C146" s="9" t="n"/>
      <c r="D146" s="9" t="n"/>
      <c r="E146" s="37" t="n"/>
      <c r="F146" s="48" t="n"/>
      <c r="G146" s="64" t="n"/>
    </row>
    <row r="147">
      <c r="A147" s="42" t="n"/>
      <c r="B147" s="62">
        <f t="array" ref="B147">INDEX(Sheet2!B:B,ROW())</f>
        <v/>
      </c>
      <c r="C147" s="9" t="n"/>
      <c r="D147" s="9" t="n"/>
      <c r="E147" s="37" t="n"/>
      <c r="F147" s="48" t="n"/>
      <c r="G147" s="64" t="n"/>
    </row>
    <row r="148">
      <c r="A148" s="42" t="n"/>
      <c r="B148" s="62">
        <f t="array" ref="B148">INDEX(Sheet2!B:B,ROW())</f>
        <v/>
      </c>
      <c r="C148" s="9" t="n"/>
      <c r="D148" s="9" t="n"/>
      <c r="E148" s="37" t="n"/>
      <c r="F148" s="48" t="n"/>
      <c r="G148" s="64" t="n"/>
    </row>
    <row r="149">
      <c r="A149" s="42" t="n"/>
      <c r="B149" s="62">
        <f t="array" ref="B149">INDEX(Sheet2!B:B,ROW())</f>
        <v/>
      </c>
      <c r="C149" s="9" t="n"/>
      <c r="D149" s="9" t="n"/>
      <c r="E149" s="37" t="n"/>
      <c r="F149" s="48" t="n"/>
      <c r="G149" s="64" t="n"/>
    </row>
    <row r="150">
      <c r="A150" s="42" t="n"/>
      <c r="B150" s="62">
        <f t="array" ref="B150">INDEX(Sheet2!B:B,ROW())</f>
        <v/>
      </c>
      <c r="C150" s="9" t="n"/>
      <c r="D150" s="9" t="n"/>
      <c r="E150" s="37" t="n"/>
      <c r="F150" s="48" t="n"/>
      <c r="G150" s="64" t="n"/>
    </row>
    <row r="151">
      <c r="A151" s="42" t="n"/>
      <c r="B151" s="62">
        <f t="array" ref="B151">INDEX(Sheet2!B:B,ROW())</f>
        <v/>
      </c>
      <c r="C151" s="9" t="n"/>
      <c r="D151" s="9" t="n"/>
      <c r="E151" s="37" t="n"/>
      <c r="F151" s="48" t="n"/>
      <c r="G151" s="64" t="n"/>
    </row>
    <row r="152">
      <c r="A152" s="42" t="n"/>
      <c r="B152" s="62">
        <f t="array" ref="B152">INDEX(Sheet2!B:B,ROW())</f>
        <v/>
      </c>
      <c r="C152" s="9" t="n"/>
      <c r="D152" s="9" t="n"/>
      <c r="E152" s="37" t="n"/>
      <c r="F152" s="48" t="n"/>
      <c r="G152" s="64" t="n"/>
    </row>
    <row r="153">
      <c r="A153" s="42" t="n"/>
      <c r="B153" s="62">
        <f t="array" ref="B153">INDEX(Sheet2!B:B,ROW())</f>
        <v/>
      </c>
      <c r="C153" s="9" t="n"/>
      <c r="D153" s="9" t="n"/>
      <c r="E153" s="37" t="n"/>
      <c r="F153" s="48" t="n"/>
      <c r="G153" s="64" t="n"/>
    </row>
    <row r="154">
      <c r="A154" s="42" t="n"/>
      <c r="B154" s="62">
        <f t="array" ref="B154">INDEX(Sheet2!B:B,ROW())</f>
        <v/>
      </c>
      <c r="C154" s="9" t="n"/>
      <c r="D154" s="9" t="n"/>
      <c r="E154" s="37" t="n"/>
      <c r="F154" s="48" t="n"/>
      <c r="G154" s="64" t="n"/>
    </row>
    <row r="155">
      <c r="A155" s="42" t="n"/>
      <c r="B155" s="62">
        <f t="array" ref="B155">INDEX(Sheet2!B:B,ROW())</f>
        <v/>
      </c>
      <c r="C155" s="9" t="n"/>
      <c r="D155" s="9" t="n"/>
      <c r="E155" s="37" t="n"/>
      <c r="F155" s="48" t="n"/>
      <c r="G155" s="64" t="n"/>
    </row>
    <row r="156">
      <c r="A156" s="42" t="n"/>
      <c r="B156" s="62">
        <f t="array" ref="B156">INDEX(Sheet2!B:B,ROW())</f>
        <v/>
      </c>
      <c r="C156" s="9" t="n"/>
      <c r="D156" s="9" t="n"/>
      <c r="E156" s="37" t="n"/>
      <c r="F156" s="48" t="n"/>
      <c r="G156" s="64" t="n"/>
    </row>
    <row r="157">
      <c r="A157" s="42" t="n"/>
      <c r="B157" s="62">
        <f t="array" ref="B157">INDEX(Sheet2!B:B,ROW())</f>
        <v/>
      </c>
      <c r="C157" s="9" t="n"/>
      <c r="D157" s="9" t="n"/>
      <c r="E157" s="37" t="n"/>
      <c r="F157" s="48" t="n"/>
      <c r="G157" s="64" t="n"/>
    </row>
    <row r="158">
      <c r="A158" s="42" t="n"/>
      <c r="B158" s="62">
        <f t="array" ref="B158">INDEX(Sheet2!B:B,ROW())</f>
        <v/>
      </c>
      <c r="C158" s="9" t="n"/>
      <c r="D158" s="9" t="n"/>
      <c r="E158" s="37" t="n"/>
      <c r="F158" s="48" t="n"/>
      <c r="G158" s="64" t="n"/>
    </row>
    <row r="159">
      <c r="A159" s="42" t="n"/>
      <c r="B159" s="62">
        <f t="array" ref="B159">INDEX(Sheet2!B:B,ROW())</f>
        <v/>
      </c>
      <c r="C159" s="9" t="n"/>
      <c r="D159" s="9" t="n"/>
      <c r="E159" s="37" t="n"/>
      <c r="F159" s="48" t="n"/>
      <c r="G159" s="64" t="n"/>
    </row>
    <row r="160">
      <c r="A160" s="42" t="n"/>
      <c r="B160" s="62">
        <f t="array" ref="B160">INDEX(Sheet2!B:B,ROW())</f>
        <v/>
      </c>
      <c r="C160" s="9" t="n"/>
      <c r="D160" s="9" t="n"/>
      <c r="E160" s="37" t="n"/>
      <c r="F160" s="48" t="n"/>
      <c r="G160" s="64" t="n"/>
    </row>
    <row r="161">
      <c r="A161" s="42" t="n"/>
      <c r="B161" s="62">
        <f t="array" ref="B161">INDEX(Sheet2!B:B,ROW())</f>
        <v/>
      </c>
      <c r="C161" s="9" t="n"/>
      <c r="D161" s="9" t="n"/>
      <c r="E161" s="37" t="n"/>
      <c r="F161" s="48" t="n"/>
      <c r="G161" s="64" t="n"/>
    </row>
    <row r="162">
      <c r="A162" s="42" t="n"/>
      <c r="B162" s="62">
        <f t="array" ref="B162">INDEX(Sheet2!B:B,ROW())</f>
        <v/>
      </c>
      <c r="C162" s="9" t="n"/>
      <c r="D162" s="9" t="n"/>
      <c r="E162" s="37" t="n"/>
      <c r="F162" s="48" t="n"/>
      <c r="G162" s="64" t="n"/>
    </row>
    <row r="163">
      <c r="A163" s="42" t="n"/>
      <c r="B163" s="62">
        <f t="array" ref="B163">INDEX(Sheet2!B:B,ROW())</f>
        <v/>
      </c>
      <c r="C163" s="9" t="n"/>
      <c r="D163" s="9" t="n"/>
      <c r="E163" s="37" t="n"/>
      <c r="F163" s="48" t="n"/>
      <c r="G163" s="64" t="n"/>
    </row>
    <row r="164">
      <c r="A164" s="42" t="n"/>
      <c r="B164" s="62">
        <f t="array" ref="B164">INDEX(Sheet2!B:B,ROW())</f>
        <v/>
      </c>
      <c r="C164" s="9" t="n"/>
      <c r="D164" s="9" t="n"/>
      <c r="E164" s="37" t="n"/>
      <c r="F164" s="48" t="n"/>
      <c r="G164" s="64" t="n"/>
    </row>
    <row r="165">
      <c r="A165" s="42" t="n"/>
      <c r="B165" s="62">
        <f t="array" ref="B165">INDEX(Sheet2!B:B,ROW())</f>
        <v/>
      </c>
      <c r="C165" s="9" t="n"/>
      <c r="D165" s="9" t="n"/>
      <c r="E165" s="37" t="n"/>
      <c r="F165" s="48" t="n"/>
      <c r="G165" s="64" t="n"/>
    </row>
    <row r="166">
      <c r="A166" s="42" t="n"/>
      <c r="B166" s="62">
        <f t="array" ref="B166">INDEX(Sheet2!B:B,ROW())</f>
        <v/>
      </c>
      <c r="C166" s="9" t="n"/>
      <c r="D166" s="9" t="n"/>
      <c r="E166" s="37" t="n"/>
      <c r="F166" s="48" t="n"/>
      <c r="G166" s="64" t="n"/>
    </row>
    <row r="167">
      <c r="A167" s="42" t="n"/>
      <c r="B167" s="62">
        <f t="array" ref="B167">INDEX(Sheet2!B:B,ROW())</f>
        <v/>
      </c>
      <c r="C167" s="9" t="n"/>
      <c r="D167" s="9" t="n"/>
      <c r="E167" s="37" t="n"/>
      <c r="F167" s="48" t="n"/>
      <c r="G167" s="64" t="n"/>
    </row>
    <row r="168">
      <c r="A168" s="42" t="n"/>
      <c r="B168" s="62">
        <f t="array" ref="B168">INDEX(Sheet2!B:B,ROW())</f>
        <v/>
      </c>
      <c r="C168" s="9" t="n"/>
      <c r="D168" s="9" t="n"/>
      <c r="E168" s="37" t="n"/>
      <c r="F168" s="48" t="n"/>
      <c r="G168" s="64" t="n"/>
    </row>
    <row r="169">
      <c r="A169" s="42" t="n"/>
      <c r="B169" s="62">
        <f t="array" ref="B169">INDEX(Sheet2!B:B,ROW())</f>
        <v/>
      </c>
      <c r="C169" s="9" t="n"/>
      <c r="D169" s="9" t="n"/>
      <c r="E169" s="37" t="n"/>
      <c r="F169" s="48" t="n"/>
      <c r="G169" s="64" t="n"/>
    </row>
    <row r="170">
      <c r="A170" s="42" t="n"/>
      <c r="B170" s="62">
        <f t="array" ref="B170">INDEX(Sheet2!B:B,ROW())</f>
        <v/>
      </c>
      <c r="C170" s="9" t="n"/>
      <c r="D170" s="9" t="n"/>
      <c r="E170" s="37" t="n"/>
      <c r="F170" s="48" t="n"/>
      <c r="G170" s="64" t="n"/>
    </row>
    <row r="171">
      <c r="A171" s="42" t="n"/>
      <c r="B171" s="62">
        <f t="array" ref="B171">INDEX(Sheet2!B:B,ROW())</f>
        <v/>
      </c>
      <c r="C171" s="9" t="n"/>
      <c r="D171" s="9" t="n"/>
      <c r="E171" s="37" t="n"/>
      <c r="F171" s="48" t="n"/>
      <c r="G171" s="64" t="n"/>
    </row>
    <row r="172">
      <c r="A172" s="42" t="n"/>
      <c r="B172" s="62">
        <f t="array" ref="B172">INDEX(Sheet2!B:B,ROW())</f>
        <v/>
      </c>
      <c r="C172" s="9" t="n"/>
      <c r="D172" s="9" t="n"/>
      <c r="E172" s="37" t="n"/>
      <c r="F172" s="48" t="n"/>
      <c r="G172" s="64" t="n"/>
    </row>
    <row r="173">
      <c r="A173" s="42" t="n"/>
      <c r="B173" s="62">
        <f t="array" ref="B173">INDEX(Sheet2!B:B,ROW())</f>
        <v/>
      </c>
      <c r="C173" s="9" t="n"/>
      <c r="D173" s="9" t="n"/>
      <c r="E173" s="37" t="n"/>
      <c r="F173" s="48" t="n"/>
      <c r="G173" s="64" t="n"/>
    </row>
    <row r="174">
      <c r="A174" s="42" t="n"/>
      <c r="B174" s="62">
        <f t="array" ref="B174">INDEX(Sheet2!B:B,ROW())</f>
        <v/>
      </c>
      <c r="C174" s="9" t="n"/>
      <c r="D174" s="9" t="n"/>
      <c r="E174" s="37" t="n"/>
      <c r="F174" s="48" t="n"/>
      <c r="G174" s="64" t="n"/>
    </row>
    <row r="175">
      <c r="A175" s="42" t="n"/>
      <c r="B175" s="62">
        <f t="array" ref="B175">INDEX(Sheet2!B:B,ROW())</f>
        <v/>
      </c>
      <c r="C175" s="9" t="n"/>
      <c r="D175" s="9" t="n"/>
      <c r="E175" s="37" t="n"/>
      <c r="F175" s="48" t="n"/>
      <c r="G175" s="64" t="n"/>
    </row>
    <row r="176">
      <c r="A176" s="42" t="n"/>
      <c r="B176" s="62">
        <f t="array" ref="B176">INDEX(Sheet2!B:B,ROW())</f>
        <v/>
      </c>
      <c r="C176" s="9" t="n"/>
      <c r="D176" s="9" t="n"/>
      <c r="E176" s="37" t="n"/>
      <c r="F176" s="48" t="n"/>
      <c r="G176" s="64" t="n"/>
    </row>
    <row r="177">
      <c r="A177" s="42" t="n"/>
      <c r="B177" s="62">
        <f t="array" ref="B177">INDEX(Sheet2!B:B,ROW())</f>
        <v/>
      </c>
      <c r="C177" s="9" t="n"/>
      <c r="D177" s="9" t="n"/>
      <c r="E177" s="37" t="n"/>
      <c r="F177" s="48" t="n"/>
      <c r="G177" s="64" t="n"/>
    </row>
    <row r="178">
      <c r="A178" s="42" t="n"/>
      <c r="B178" s="62">
        <f t="array" ref="B178">INDEX(Sheet2!B:B,ROW())</f>
        <v/>
      </c>
      <c r="C178" s="9" t="n"/>
      <c r="D178" s="9" t="n"/>
      <c r="E178" s="37" t="n"/>
      <c r="F178" s="48" t="n"/>
      <c r="G178" s="64" t="n"/>
    </row>
    <row r="179">
      <c r="A179" s="42" t="n"/>
      <c r="B179" s="62">
        <f t="array" ref="B179">INDEX(Sheet2!B:B,ROW())</f>
        <v/>
      </c>
      <c r="C179" s="9" t="n"/>
      <c r="D179" s="9" t="n"/>
      <c r="E179" s="37" t="n"/>
      <c r="F179" s="48" t="n"/>
      <c r="G179" s="64" t="n"/>
    </row>
    <row r="180">
      <c r="A180" s="42" t="n"/>
      <c r="B180" s="62">
        <f t="array" ref="B180">INDEX(Sheet2!B:B,ROW())</f>
        <v/>
      </c>
      <c r="C180" s="9" t="n"/>
      <c r="D180" s="9" t="n"/>
      <c r="E180" s="37" t="n"/>
      <c r="F180" s="48" t="n"/>
      <c r="G180" s="64" t="n"/>
    </row>
    <row r="181">
      <c r="A181" s="42" t="n"/>
      <c r="B181" s="62">
        <f t="array" ref="B181">INDEX(Sheet2!B:B,ROW())</f>
        <v/>
      </c>
      <c r="C181" s="9" t="n"/>
      <c r="D181" s="9" t="n"/>
      <c r="E181" s="37" t="n"/>
      <c r="F181" s="48" t="n"/>
      <c r="G181" s="64" t="n"/>
    </row>
    <row r="182">
      <c r="A182" s="42" t="n"/>
      <c r="B182" s="62">
        <f t="array" ref="B182">INDEX(Sheet2!B:B,ROW())</f>
        <v/>
      </c>
      <c r="C182" s="9" t="n"/>
      <c r="D182" s="9" t="n"/>
      <c r="E182" s="37" t="n"/>
      <c r="F182" s="48" t="n"/>
      <c r="G182" s="64" t="n"/>
    </row>
    <row r="183">
      <c r="A183" s="42" t="n"/>
      <c r="B183" s="62">
        <f t="array" ref="B183">INDEX(Sheet2!B:B,ROW())</f>
        <v/>
      </c>
      <c r="C183" s="9" t="n"/>
      <c r="D183" s="9" t="n"/>
      <c r="E183" s="37" t="n"/>
      <c r="F183" s="48" t="n"/>
      <c r="G183" s="64" t="n"/>
    </row>
    <row r="184">
      <c r="A184" s="42" t="n"/>
      <c r="B184" s="62">
        <f t="array" ref="B184">INDEX(Sheet2!B:B,ROW())</f>
        <v/>
      </c>
      <c r="C184" s="9" t="n"/>
      <c r="D184" s="9" t="n"/>
      <c r="E184" s="37" t="n"/>
      <c r="F184" s="48" t="n"/>
      <c r="G184" s="64" t="n"/>
    </row>
    <row r="185">
      <c r="A185" s="42" t="n"/>
      <c r="B185" s="62">
        <f t="array" ref="B185">INDEX(Sheet2!B:B,ROW())</f>
        <v/>
      </c>
      <c r="C185" s="9" t="n"/>
      <c r="D185" s="9" t="n"/>
      <c r="E185" s="37" t="n"/>
      <c r="F185" s="48" t="n"/>
      <c r="G185" s="64" t="n"/>
    </row>
    <row r="186">
      <c r="A186" s="42" t="n"/>
      <c r="B186" s="62">
        <f t="array" ref="B186">INDEX(Sheet2!B:B,ROW())</f>
        <v/>
      </c>
      <c r="C186" s="9" t="n"/>
      <c r="D186" s="9" t="n"/>
      <c r="E186" s="37" t="n"/>
      <c r="F186" s="48" t="n"/>
      <c r="G186" s="64" t="n"/>
    </row>
    <row r="187">
      <c r="A187" s="42" t="n"/>
      <c r="B187" s="62">
        <f t="array" ref="B187">INDEX(Sheet2!B:B,ROW())</f>
        <v/>
      </c>
      <c r="C187" s="9" t="n"/>
      <c r="D187" s="9" t="n"/>
      <c r="E187" s="37" t="n"/>
      <c r="F187" s="48" t="n"/>
      <c r="G187" s="64" t="n"/>
    </row>
    <row r="188">
      <c r="A188" s="42" t="n"/>
      <c r="B188" s="62">
        <f t="array" ref="B188">INDEX(Sheet2!B:B,ROW())</f>
        <v/>
      </c>
      <c r="C188" s="9" t="n"/>
      <c r="D188" s="9" t="n"/>
      <c r="E188" s="37" t="n"/>
      <c r="F188" s="48" t="n"/>
      <c r="G188" s="64" t="n"/>
    </row>
    <row r="189">
      <c r="A189" s="42" t="n"/>
      <c r="B189" s="62">
        <f t="array" ref="B189">INDEX(Sheet2!B:B,ROW())</f>
        <v/>
      </c>
      <c r="C189" s="9" t="n"/>
      <c r="D189" s="9" t="n"/>
      <c r="E189" s="37" t="n"/>
      <c r="F189" s="48" t="n"/>
      <c r="G189" s="64" t="n"/>
    </row>
    <row r="190">
      <c r="A190" s="42" t="n"/>
      <c r="B190" s="62">
        <f t="array" ref="B190">INDEX(Sheet2!B:B,ROW())</f>
        <v/>
      </c>
      <c r="C190" s="9" t="n"/>
      <c r="D190" s="9" t="n"/>
      <c r="E190" s="37" t="n"/>
      <c r="F190" s="48" t="n"/>
      <c r="G190" s="64" t="n"/>
    </row>
    <row r="191">
      <c r="A191" s="42" t="n"/>
      <c r="B191" s="62">
        <f t="array" ref="B191">INDEX(Sheet2!B:B,ROW())</f>
        <v/>
      </c>
      <c r="C191" s="9" t="n"/>
      <c r="D191" s="9" t="n"/>
      <c r="E191" s="37" t="n"/>
      <c r="F191" s="48" t="n"/>
      <c r="G191" s="64" t="n"/>
    </row>
    <row r="192">
      <c r="A192" s="42" t="n"/>
      <c r="B192" s="62">
        <f t="array" ref="B192">INDEX(Sheet2!B:B,ROW())</f>
        <v/>
      </c>
      <c r="C192" s="9" t="n"/>
      <c r="D192" s="9" t="n"/>
      <c r="E192" s="37" t="n"/>
      <c r="F192" s="48" t="n"/>
      <c r="G192" s="64" t="n"/>
    </row>
    <row r="193">
      <c r="A193" s="42" t="n"/>
      <c r="B193" s="62">
        <f t="array" ref="B193">INDEX(Sheet2!B:B,ROW())</f>
        <v/>
      </c>
      <c r="C193" s="9" t="n"/>
      <c r="D193" s="9" t="n"/>
      <c r="E193" s="37" t="n"/>
      <c r="F193" s="48" t="n"/>
      <c r="G193" s="64" t="n"/>
    </row>
    <row r="194">
      <c r="A194" s="42" t="n"/>
      <c r="B194" s="62">
        <f t="array" ref="B194">INDEX(Sheet2!B:B,ROW())</f>
        <v/>
      </c>
      <c r="C194" s="9" t="n"/>
      <c r="D194" s="9" t="n"/>
      <c r="E194" s="37" t="n"/>
      <c r="F194" s="48" t="n"/>
      <c r="G194" s="64" t="n"/>
    </row>
    <row r="195">
      <c r="A195" s="42" t="n"/>
      <c r="B195" s="62">
        <f t="array" ref="B195">INDEX(Sheet2!B:B,ROW())</f>
        <v/>
      </c>
      <c r="C195" s="9" t="n"/>
      <c r="D195" s="9" t="n"/>
      <c r="E195" s="37" t="n"/>
      <c r="F195" s="48" t="n"/>
      <c r="G195" s="64" t="n"/>
    </row>
    <row r="196">
      <c r="A196" s="42" t="n"/>
      <c r="B196" s="62">
        <f t="array" ref="B196">INDEX(Sheet2!B:B,ROW())</f>
        <v/>
      </c>
      <c r="C196" s="9" t="n"/>
      <c r="D196" s="9" t="n"/>
      <c r="E196" s="37" t="n"/>
      <c r="F196" s="48" t="n"/>
      <c r="G196" s="64" t="n"/>
    </row>
    <row r="197">
      <c r="A197" s="42" t="n"/>
      <c r="B197" s="62">
        <f t="array" ref="B197">INDEX(Sheet2!B:B,ROW())</f>
        <v/>
      </c>
      <c r="C197" s="9" t="n"/>
      <c r="D197" s="9" t="n"/>
      <c r="E197" s="37" t="n"/>
      <c r="F197" s="48" t="n"/>
      <c r="G197" s="64" t="n"/>
    </row>
    <row r="198">
      <c r="A198" s="42" t="n"/>
      <c r="B198" s="62">
        <f t="array" ref="B198">INDEX(Sheet2!B:B,ROW())</f>
        <v/>
      </c>
      <c r="C198" s="9" t="n"/>
      <c r="D198" s="9" t="n"/>
      <c r="E198" s="37" t="n"/>
      <c r="F198" s="48" t="n"/>
      <c r="G198" s="64" t="n"/>
    </row>
    <row r="199">
      <c r="A199" s="42" t="n"/>
      <c r="B199" s="62">
        <f t="array" ref="B199">INDEX(Sheet2!B:B,ROW())</f>
        <v/>
      </c>
      <c r="C199" s="9" t="n"/>
      <c r="D199" s="9" t="n"/>
      <c r="E199" s="37" t="n"/>
      <c r="F199" s="48" t="n"/>
      <c r="G199" s="64" t="n"/>
    </row>
    <row r="200">
      <c r="A200" s="42" t="n"/>
      <c r="B200" s="62">
        <f t="array" ref="B200">INDEX(Sheet2!B:B,ROW())</f>
        <v/>
      </c>
      <c r="C200" s="9" t="n"/>
      <c r="D200" s="9" t="n"/>
      <c r="E200" s="37" t="n"/>
      <c r="F200" s="48" t="n"/>
      <c r="G200" s="64" t="n"/>
    </row>
    <row r="201">
      <c r="A201" s="42" t="n"/>
      <c r="B201" s="62">
        <f t="array" ref="B201">INDEX(Sheet2!B:B,ROW())</f>
        <v/>
      </c>
      <c r="C201" s="9" t="n"/>
      <c r="D201" s="9" t="n"/>
      <c r="E201" s="37" t="n"/>
      <c r="F201" s="48" t="n"/>
      <c r="G201" s="64" t="n"/>
    </row>
    <row r="202">
      <c r="A202" s="42" t="n"/>
      <c r="B202" s="62">
        <f t="array" ref="B202">INDEX(Sheet2!B:B,ROW())</f>
        <v/>
      </c>
      <c r="C202" s="9" t="n"/>
      <c r="D202" s="9" t="n"/>
      <c r="E202" s="37" t="n"/>
      <c r="F202" s="48" t="n"/>
      <c r="G202" s="64" t="n"/>
    </row>
    <row r="203">
      <c r="A203" s="42" t="n"/>
      <c r="B203" s="62">
        <f t="array" ref="B203">INDEX(Sheet2!B:B,ROW())</f>
        <v/>
      </c>
      <c r="C203" s="9" t="n"/>
      <c r="D203" s="9" t="n"/>
      <c r="E203" s="37" t="n"/>
      <c r="F203" s="48" t="n"/>
      <c r="G203" s="64" t="n"/>
    </row>
    <row r="204">
      <c r="A204" s="42" t="n"/>
      <c r="B204" s="62">
        <f t="array" ref="B204">INDEX(Sheet2!B:B,ROW())</f>
        <v/>
      </c>
      <c r="C204" s="9" t="n"/>
      <c r="D204" s="9" t="n"/>
      <c r="E204" s="37" t="n"/>
      <c r="F204" s="48" t="n"/>
      <c r="G204" s="64" t="n"/>
    </row>
    <row r="205">
      <c r="A205" s="42" t="n"/>
      <c r="B205" s="62">
        <f t="array" ref="B205">INDEX(Sheet2!B:B,ROW())</f>
        <v/>
      </c>
      <c r="C205" s="9" t="n"/>
      <c r="D205" s="9" t="n"/>
      <c r="E205" s="37" t="n"/>
      <c r="F205" s="48" t="n"/>
      <c r="G205" s="64" t="n"/>
    </row>
    <row r="206">
      <c r="A206" s="42" t="n"/>
      <c r="B206" s="62">
        <f t="array" ref="B206">INDEX(Sheet2!B:B,ROW())</f>
        <v/>
      </c>
      <c r="C206" s="9" t="n"/>
      <c r="D206" s="9" t="n"/>
      <c r="E206" s="37" t="n"/>
      <c r="F206" s="48" t="n"/>
      <c r="G206" s="64" t="n"/>
    </row>
    <row r="207">
      <c r="A207" s="42" t="n"/>
      <c r="B207" s="62">
        <f t="array" ref="B207">INDEX(Sheet2!B:B,ROW())</f>
        <v/>
      </c>
      <c r="C207" s="9" t="n"/>
      <c r="D207" s="9" t="n"/>
      <c r="E207" s="37" t="n"/>
      <c r="F207" s="48" t="n"/>
      <c r="G207" s="64" t="n"/>
    </row>
    <row r="208">
      <c r="A208" s="42" t="n"/>
      <c r="B208" s="62">
        <f t="array" ref="B208">INDEX(Sheet2!B:B,ROW())</f>
        <v/>
      </c>
      <c r="C208" s="9" t="n"/>
      <c r="D208" s="9" t="n"/>
      <c r="E208" s="37" t="n"/>
      <c r="F208" s="48" t="n"/>
      <c r="G208" s="64" t="n"/>
    </row>
    <row r="209">
      <c r="A209" s="42" t="n"/>
      <c r="B209" s="62">
        <f t="array" ref="B209">INDEX(Sheet2!B:B,ROW())</f>
        <v/>
      </c>
      <c r="C209" s="9" t="n"/>
      <c r="D209" s="9" t="n"/>
      <c r="E209" s="37" t="n"/>
      <c r="F209" s="48" t="n"/>
      <c r="G209" s="64" t="n"/>
    </row>
    <row r="210">
      <c r="A210" s="42" t="n"/>
      <c r="B210" s="62">
        <f t="array" ref="B210">INDEX(Sheet2!B:B,ROW())</f>
        <v/>
      </c>
      <c r="C210" s="9" t="n"/>
      <c r="D210" s="9" t="n"/>
      <c r="E210" s="37" t="n"/>
      <c r="F210" s="48" t="n"/>
      <c r="G210" s="64" t="n"/>
    </row>
    <row r="211">
      <c r="A211" s="42" t="n"/>
      <c r="B211" s="62">
        <f t="array" ref="B211">INDEX(Sheet2!B:B,ROW())</f>
        <v/>
      </c>
      <c r="C211" s="9" t="n"/>
      <c r="D211" s="9" t="n"/>
      <c r="E211" s="37" t="n"/>
      <c r="F211" s="48" t="n"/>
      <c r="G211" s="64" t="n"/>
    </row>
    <row r="212">
      <c r="A212" s="42" t="n"/>
      <c r="B212" s="62">
        <f t="array" ref="B212">INDEX(Sheet2!B:B,ROW())</f>
        <v/>
      </c>
      <c r="C212" s="9" t="n"/>
      <c r="D212" s="9" t="n"/>
      <c r="E212" s="37" t="n"/>
      <c r="F212" s="48" t="n"/>
      <c r="G212" s="64" t="n"/>
    </row>
    <row r="213">
      <c r="A213" s="42" t="n"/>
      <c r="B213" s="62">
        <f t="array" ref="B213">INDEX(Sheet2!B:B,ROW())</f>
        <v/>
      </c>
      <c r="C213" s="9" t="n"/>
      <c r="D213" s="9" t="n"/>
      <c r="E213" s="37" t="n"/>
      <c r="F213" s="48" t="n"/>
      <c r="G213" s="64" t="n"/>
    </row>
    <row r="214">
      <c r="A214" s="42" t="n"/>
      <c r="B214" s="62">
        <f t="array" ref="B214">INDEX(Sheet2!B:B,ROW())</f>
        <v/>
      </c>
      <c r="C214" s="9" t="n"/>
      <c r="D214" s="9" t="n"/>
      <c r="E214" s="37" t="n"/>
      <c r="F214" s="48" t="n"/>
      <c r="G214" s="64" t="n"/>
    </row>
    <row r="215">
      <c r="A215" s="42" t="n"/>
      <c r="B215" s="62">
        <f t="array" ref="B215">INDEX(Sheet2!B:B,ROW())</f>
        <v/>
      </c>
      <c r="C215" s="9" t="n"/>
      <c r="D215" s="9" t="n"/>
      <c r="E215" s="37" t="n"/>
      <c r="F215" s="48" t="n"/>
      <c r="G215" s="64" t="n"/>
    </row>
    <row r="216">
      <c r="A216" s="42" t="n"/>
      <c r="B216" s="62">
        <f t="array" ref="B216">INDEX(Sheet2!B:B,ROW())</f>
        <v/>
      </c>
      <c r="C216" s="9" t="n"/>
      <c r="D216" s="9" t="n"/>
      <c r="E216" s="37" t="n"/>
      <c r="F216" s="48" t="n"/>
      <c r="G216" s="64" t="n"/>
    </row>
    <row r="217">
      <c r="A217" s="42" t="n"/>
      <c r="B217" s="62">
        <f t="array" ref="B217">INDEX(Sheet2!B:B,ROW())</f>
        <v/>
      </c>
      <c r="C217" s="9" t="n"/>
      <c r="D217" s="9" t="n"/>
      <c r="E217" s="37" t="n"/>
      <c r="F217" s="48" t="n"/>
      <c r="G217" s="64" t="n"/>
    </row>
    <row r="218">
      <c r="A218" s="42" t="n"/>
      <c r="B218" s="62">
        <f t="array" ref="B218">INDEX(Sheet2!B:B,ROW())</f>
        <v/>
      </c>
      <c r="C218" s="9" t="n"/>
      <c r="D218" s="9" t="n"/>
      <c r="E218" s="37" t="n"/>
      <c r="F218" s="48" t="n"/>
      <c r="G218" s="64" t="n"/>
    </row>
    <row r="219">
      <c r="A219" s="42" t="n"/>
      <c r="B219" s="62">
        <f t="array" ref="B219">INDEX(Sheet2!B:B,ROW())</f>
        <v/>
      </c>
      <c r="C219" s="9" t="n"/>
      <c r="D219" s="9" t="n"/>
      <c r="E219" s="37" t="n"/>
      <c r="F219" s="48" t="n"/>
      <c r="G219" s="64" t="n"/>
    </row>
    <row r="220">
      <c r="A220" s="42" t="n"/>
      <c r="B220" s="62">
        <f t="array" ref="B220">INDEX(Sheet2!B:B,ROW())</f>
        <v/>
      </c>
      <c r="C220" s="9" t="n"/>
      <c r="D220" s="9" t="n"/>
      <c r="E220" s="37" t="n"/>
      <c r="F220" s="48" t="n"/>
      <c r="G220" s="64" t="n"/>
    </row>
    <row r="221">
      <c r="A221" s="42" t="n"/>
      <c r="B221" s="62">
        <f t="array" ref="B221">INDEX(Sheet2!B:B,ROW())</f>
        <v/>
      </c>
      <c r="C221" s="9" t="n"/>
      <c r="D221" s="9" t="n"/>
      <c r="E221" s="37" t="n"/>
      <c r="F221" s="48" t="n"/>
      <c r="G221" s="64" t="n"/>
    </row>
    <row r="222">
      <c r="A222" s="42" t="n"/>
      <c r="B222" s="62">
        <f t="array" ref="B222">INDEX(Sheet2!B:B,ROW())</f>
        <v/>
      </c>
      <c r="C222" s="9" t="n"/>
      <c r="D222" s="9" t="n"/>
      <c r="E222" s="37" t="n"/>
      <c r="F222" s="48" t="n"/>
      <c r="G222" s="64" t="n"/>
    </row>
    <row r="223">
      <c r="A223" s="42" t="n"/>
      <c r="B223" s="62">
        <f t="array" ref="B223">INDEX(Sheet2!B:B,ROW())</f>
        <v/>
      </c>
      <c r="C223" s="9" t="n"/>
      <c r="D223" s="9" t="n"/>
      <c r="E223" s="37" t="n"/>
      <c r="F223" s="48" t="n"/>
      <c r="G223" s="64" t="n"/>
    </row>
    <row r="224">
      <c r="A224" s="42" t="n"/>
      <c r="B224" s="62">
        <f t="array" ref="B224">INDEX(Sheet2!B:B,ROW())</f>
        <v/>
      </c>
      <c r="C224" s="9" t="n"/>
      <c r="D224" s="9" t="n"/>
      <c r="E224" s="37" t="n"/>
      <c r="F224" s="48" t="n"/>
      <c r="G224" s="64" t="n"/>
    </row>
    <row r="225">
      <c r="A225" s="42" t="n"/>
      <c r="B225" s="62">
        <f t="array" ref="B225">INDEX(Sheet2!B:B,ROW())</f>
        <v/>
      </c>
      <c r="C225" s="9" t="n"/>
      <c r="D225" s="9" t="n"/>
      <c r="E225" s="37" t="n"/>
      <c r="F225" s="48" t="n"/>
      <c r="G225" s="64" t="n"/>
    </row>
    <row r="226">
      <c r="A226" s="42" t="n"/>
      <c r="B226" s="62">
        <f t="array" ref="B226">INDEX(Sheet2!B:B,ROW())</f>
        <v/>
      </c>
      <c r="C226" s="9" t="n"/>
      <c r="D226" s="9" t="n"/>
      <c r="E226" s="37" t="n"/>
      <c r="F226" s="48" t="n"/>
      <c r="G226" s="64" t="n"/>
    </row>
    <row r="227">
      <c r="A227" s="42" t="n"/>
      <c r="B227" s="62">
        <f t="array" ref="B227">INDEX(Sheet2!B:B,ROW())</f>
        <v/>
      </c>
      <c r="C227" s="9" t="n"/>
      <c r="D227" s="9" t="n"/>
      <c r="E227" s="37" t="n"/>
      <c r="F227" s="48" t="n"/>
      <c r="G227" s="64" t="n"/>
    </row>
    <row r="228">
      <c r="A228" s="42" t="n"/>
      <c r="B228" s="62">
        <f t="array" ref="B228">INDEX(Sheet2!B:B,ROW())</f>
        <v/>
      </c>
      <c r="C228" s="9" t="n"/>
      <c r="D228" s="9" t="n"/>
      <c r="E228" s="37" t="n"/>
      <c r="F228" s="48" t="n"/>
      <c r="G228" s="64" t="n"/>
    </row>
    <row r="229">
      <c r="A229" s="42" t="n"/>
      <c r="B229" s="62">
        <f t="array" ref="B229">INDEX(Sheet2!B:B,ROW())</f>
        <v/>
      </c>
      <c r="C229" s="9" t="n"/>
      <c r="D229" s="9" t="n"/>
      <c r="E229" s="37" t="n"/>
      <c r="F229" s="48" t="n"/>
      <c r="G229" s="64" t="n"/>
    </row>
    <row r="230">
      <c r="A230" s="42" t="n"/>
      <c r="B230" s="62">
        <f t="array" ref="B230">INDEX(Sheet2!B:B,ROW())</f>
        <v/>
      </c>
      <c r="C230" s="9" t="n"/>
      <c r="D230" s="9" t="n"/>
      <c r="E230" s="37" t="n"/>
      <c r="F230" s="48" t="n"/>
      <c r="G230" s="64" t="n"/>
    </row>
    <row r="231">
      <c r="A231" s="42" t="n"/>
      <c r="B231" s="62">
        <f t="array" ref="B231">INDEX(Sheet2!B:B,ROW())</f>
        <v/>
      </c>
      <c r="C231" s="9" t="n"/>
      <c r="D231" s="9" t="n"/>
      <c r="E231" s="37" t="n"/>
      <c r="F231" s="48" t="n"/>
      <c r="G231" s="64" t="n"/>
    </row>
    <row r="232">
      <c r="A232" s="42" t="n"/>
      <c r="B232" s="62">
        <f t="array" ref="B232">INDEX(Sheet2!B:B,ROW())</f>
        <v/>
      </c>
      <c r="C232" s="9" t="n"/>
      <c r="D232" s="9" t="n"/>
      <c r="E232" s="37" t="n"/>
      <c r="F232" s="48" t="n"/>
      <c r="G232" s="64" t="n"/>
    </row>
    <row r="233">
      <c r="A233" s="42" t="n"/>
      <c r="B233" s="62">
        <f t="array" ref="B233">INDEX(Sheet2!B:B,ROW())</f>
        <v/>
      </c>
      <c r="C233" s="9" t="n"/>
      <c r="D233" s="9" t="n"/>
      <c r="E233" s="37" t="n"/>
      <c r="F233" s="48" t="n"/>
      <c r="G233" s="64" t="n"/>
    </row>
    <row r="234">
      <c r="A234" s="42" t="n"/>
      <c r="B234" s="62" t="n"/>
      <c r="C234" s="9" t="n"/>
      <c r="D234" s="9" t="n"/>
      <c r="E234" s="37" t="n"/>
      <c r="F234" s="48" t="n"/>
      <c r="G234" s="65" t="n"/>
    </row>
    <row r="235">
      <c r="A235" s="42" t="n"/>
      <c r="B235" s="62" t="n"/>
      <c r="C235" s="9" t="n"/>
      <c r="D235" s="9" t="n"/>
      <c r="E235" s="37" t="n"/>
      <c r="F235" s="48" t="n"/>
      <c r="G235" s="65" t="n"/>
    </row>
    <row r="236">
      <c r="A236" s="42" t="n"/>
      <c r="B236" s="62" t="n"/>
      <c r="C236" s="9" t="n"/>
      <c r="D236" s="9" t="n"/>
      <c r="E236" s="37" t="n"/>
      <c r="F236" s="48" t="n"/>
      <c r="G236" s="65" t="n"/>
    </row>
    <row r="237">
      <c r="A237" s="42" t="n"/>
      <c r="B237" s="62" t="n"/>
      <c r="C237" s="9" t="n"/>
      <c r="D237" s="9" t="n"/>
      <c r="E237" s="37" t="n"/>
      <c r="F237" s="48" t="n"/>
      <c r="G237" s="65" t="n"/>
    </row>
    <row r="238">
      <c r="A238" s="42" t="n"/>
      <c r="B238" s="62" t="n"/>
      <c r="C238" s="9" t="n"/>
      <c r="D238" s="9" t="n"/>
      <c r="E238" s="37" t="n"/>
      <c r="F238" s="48" t="n"/>
      <c r="G238" s="65" t="n"/>
    </row>
    <row r="239">
      <c r="A239" s="42" t="n"/>
      <c r="B239" s="62" t="n"/>
      <c r="C239" s="9" t="n"/>
      <c r="D239" s="9" t="n"/>
      <c r="E239" s="37" t="n"/>
      <c r="F239" s="48" t="n"/>
      <c r="G239" s="65" t="n"/>
    </row>
    <row r="240">
      <c r="A240" s="42" t="n"/>
      <c r="B240" s="62" t="n"/>
      <c r="C240" s="9" t="n"/>
      <c r="D240" s="9" t="n"/>
      <c r="E240" s="37" t="n"/>
      <c r="F240" s="48" t="n"/>
      <c r="G240" s="65" t="n"/>
    </row>
    <row r="241">
      <c r="A241" s="42" t="n"/>
      <c r="B241" s="62" t="n"/>
      <c r="C241" s="9" t="n"/>
      <c r="D241" s="9" t="n"/>
      <c r="E241" s="37" t="n"/>
      <c r="F241" s="48" t="n"/>
      <c r="G241" s="65" t="n"/>
    </row>
    <row r="242">
      <c r="A242" s="42" t="n"/>
      <c r="B242" s="62" t="n"/>
      <c r="C242" s="9" t="n"/>
      <c r="D242" s="9" t="n"/>
      <c r="E242" s="37" t="n"/>
      <c r="F242" s="48" t="n"/>
      <c r="G242" s="65" t="n"/>
    </row>
    <row r="243">
      <c r="A243" s="42" t="n"/>
      <c r="B243" s="62" t="n"/>
      <c r="C243" s="9" t="n"/>
      <c r="D243" s="9" t="n"/>
      <c r="E243" s="37" t="n"/>
      <c r="F243" s="48" t="n"/>
      <c r="G243" s="65" t="n"/>
    </row>
    <row r="244">
      <c r="A244" s="42" t="n"/>
      <c r="B244" s="62" t="n"/>
      <c r="C244" s="9" t="n"/>
      <c r="D244" s="9" t="n"/>
      <c r="E244" s="37" t="n"/>
      <c r="F244" s="48" t="n"/>
      <c r="G244" s="65" t="n"/>
    </row>
    <row r="245">
      <c r="A245" s="42" t="n"/>
      <c r="B245" s="62" t="n"/>
      <c r="C245" s="9" t="n"/>
      <c r="D245" s="9" t="n"/>
      <c r="E245" s="37" t="n"/>
      <c r="F245" s="48" t="n"/>
      <c r="G245" s="65" t="n"/>
    </row>
    <row r="246">
      <c r="A246" s="42" t="n"/>
      <c r="B246" s="62" t="n"/>
      <c r="C246" s="9" t="n"/>
      <c r="D246" s="9" t="n"/>
      <c r="E246" s="37" t="n"/>
      <c r="F246" s="48" t="n"/>
      <c r="G246" s="65" t="n"/>
    </row>
    <row r="247">
      <c r="A247" s="42" t="n"/>
      <c r="B247" s="62" t="n"/>
      <c r="C247" s="9" t="n"/>
      <c r="D247" s="9" t="n"/>
      <c r="E247" s="37" t="n"/>
      <c r="F247" s="48" t="n"/>
      <c r="G247" s="65" t="n"/>
    </row>
    <row r="248">
      <c r="A248" s="42" t="n"/>
      <c r="B248" s="62" t="n"/>
      <c r="C248" s="9" t="n"/>
      <c r="D248" s="9" t="n"/>
      <c r="E248" s="37" t="n"/>
      <c r="F248" s="48" t="n"/>
      <c r="G248" s="65" t="n"/>
    </row>
    <row r="249">
      <c r="A249" s="42" t="n"/>
      <c r="B249" s="62" t="n"/>
      <c r="C249" s="9" t="n"/>
      <c r="D249" s="9" t="n"/>
      <c r="E249" s="37" t="n"/>
      <c r="F249" s="48" t="n"/>
      <c r="G249" s="65" t="n"/>
    </row>
    <row r="250">
      <c r="A250" s="42" t="n"/>
      <c r="B250" s="62" t="n"/>
      <c r="C250" s="9" t="n"/>
      <c r="D250" s="9" t="n"/>
      <c r="E250" s="37" t="n"/>
      <c r="F250" s="48" t="n"/>
      <c r="G250" s="65" t="n"/>
    </row>
    <row r="251">
      <c r="A251" s="42" t="n"/>
      <c r="B251" s="62" t="n"/>
      <c r="C251" s="9" t="n"/>
      <c r="D251" s="9" t="n"/>
      <c r="E251" s="37" t="n"/>
      <c r="F251" s="48" t="n"/>
      <c r="G251" s="65" t="n"/>
    </row>
    <row r="252">
      <c r="A252" s="42" t="n"/>
      <c r="B252" s="62" t="n"/>
      <c r="C252" s="9" t="n"/>
      <c r="D252" s="9" t="n"/>
      <c r="E252" s="37" t="n"/>
      <c r="F252" s="48" t="n"/>
      <c r="G252" s="65" t="n"/>
    </row>
    <row r="253">
      <c r="A253" s="42" t="n"/>
      <c r="B253" s="62" t="n"/>
      <c r="C253" s="9" t="n"/>
      <c r="D253" s="9" t="n"/>
      <c r="E253" s="37" t="n"/>
      <c r="F253" s="48" t="n"/>
      <c r="G253" s="65" t="n"/>
    </row>
    <row r="254">
      <c r="A254" s="42" t="n"/>
      <c r="B254" s="62" t="n"/>
      <c r="C254" s="9" t="n"/>
      <c r="D254" s="9" t="n"/>
      <c r="E254" s="37" t="n"/>
      <c r="F254" s="48" t="n"/>
      <c r="G254" s="65" t="n"/>
    </row>
    <row r="255">
      <c r="A255" s="42" t="n"/>
      <c r="B255" s="62" t="n"/>
      <c r="C255" s="9" t="n"/>
      <c r="D255" s="9" t="n"/>
      <c r="E255" s="37" t="n"/>
      <c r="F255" s="48" t="n"/>
      <c r="G255" s="65" t="n"/>
    </row>
    <row r="256">
      <c r="A256" s="42" t="n"/>
      <c r="B256" s="62" t="n"/>
      <c r="C256" s="9" t="n"/>
      <c r="D256" s="9" t="n"/>
      <c r="E256" s="37" t="n"/>
      <c r="F256" s="48" t="n"/>
      <c r="G256" s="65" t="n"/>
    </row>
    <row r="257">
      <c r="A257" s="42" t="n"/>
      <c r="B257" s="62" t="n"/>
      <c r="C257" s="9" t="n"/>
      <c r="D257" s="9" t="n"/>
      <c r="E257" s="37" t="n"/>
      <c r="F257" s="48" t="n"/>
      <c r="G257" s="65" t="n"/>
    </row>
    <row r="258">
      <c r="A258" s="42" t="n"/>
      <c r="B258" s="62" t="n"/>
      <c r="C258" s="9" t="n"/>
      <c r="D258" s="9" t="n"/>
      <c r="E258" s="37" t="n"/>
      <c r="F258" s="48" t="n"/>
      <c r="G258" s="65" t="n"/>
    </row>
    <row r="259">
      <c r="A259" s="42" t="n"/>
      <c r="B259" s="62" t="n"/>
      <c r="C259" s="9" t="n"/>
      <c r="D259" s="9" t="n"/>
      <c r="E259" s="37" t="n"/>
      <c r="F259" s="48" t="n"/>
      <c r="G259" s="65" t="n"/>
    </row>
    <row r="260">
      <c r="A260" s="42" t="n"/>
      <c r="B260" s="62" t="n"/>
      <c r="C260" s="9" t="n"/>
      <c r="D260" s="9" t="n"/>
      <c r="E260" s="37" t="n"/>
      <c r="F260" s="48" t="n"/>
      <c r="G260" s="65" t="n"/>
    </row>
    <row r="261">
      <c r="A261" s="42" t="n"/>
      <c r="B261" s="62" t="n"/>
      <c r="C261" s="9" t="n"/>
      <c r="D261" s="9" t="n"/>
      <c r="E261" s="37" t="n"/>
      <c r="F261" s="48" t="n"/>
      <c r="G261" s="65" t="n"/>
    </row>
    <row r="262">
      <c r="A262" s="42" t="n"/>
      <c r="B262" s="62" t="n"/>
      <c r="C262" s="9" t="n"/>
      <c r="D262" s="9" t="n"/>
      <c r="E262" s="37" t="n"/>
      <c r="F262" s="48" t="n"/>
      <c r="G262" s="65" t="n"/>
    </row>
    <row r="263">
      <c r="A263" s="42" t="n"/>
      <c r="B263" s="62" t="n"/>
      <c r="C263" s="9" t="n"/>
      <c r="D263" s="9" t="n"/>
      <c r="E263" s="37" t="n"/>
      <c r="F263" s="48" t="n"/>
      <c r="G263" s="65" t="n"/>
    </row>
    <row r="264">
      <c r="A264" s="42" t="n"/>
      <c r="B264" s="62" t="n"/>
      <c r="C264" s="9" t="n"/>
      <c r="D264" s="9" t="n"/>
      <c r="E264" s="37" t="n"/>
      <c r="F264" s="48" t="n"/>
      <c r="G264" s="65" t="n"/>
    </row>
    <row r="265">
      <c r="A265" s="42" t="n"/>
      <c r="B265" s="62" t="n"/>
      <c r="C265" s="9" t="n"/>
      <c r="D265" s="9" t="n"/>
      <c r="E265" s="37" t="n"/>
      <c r="F265" s="48" t="n"/>
      <c r="G265" s="65" t="n"/>
    </row>
    <row r="266">
      <c r="A266" s="42" t="n"/>
      <c r="B266" s="62" t="n"/>
      <c r="C266" s="9" t="n"/>
      <c r="D266" s="9" t="n"/>
      <c r="E266" s="37" t="n"/>
      <c r="F266" s="48" t="n"/>
      <c r="G266" s="65" t="n"/>
    </row>
    <row r="267">
      <c r="A267" s="42" t="n"/>
      <c r="B267" s="62" t="n"/>
      <c r="C267" s="9" t="n"/>
      <c r="D267" s="9" t="n"/>
      <c r="E267" s="37" t="n"/>
      <c r="F267" s="48" t="n"/>
      <c r="G267" s="65" t="n"/>
    </row>
    <row r="268">
      <c r="A268" s="42" t="n"/>
      <c r="B268" s="62" t="n"/>
      <c r="C268" s="9" t="n"/>
      <c r="D268" s="9" t="n"/>
      <c r="E268" s="37" t="n"/>
      <c r="F268" s="48" t="n"/>
      <c r="G268" s="65" t="n"/>
    </row>
    <row r="269">
      <c r="A269" s="42" t="n"/>
      <c r="B269" s="62" t="n"/>
      <c r="C269" s="9" t="n"/>
      <c r="D269" s="9" t="n"/>
      <c r="E269" s="37" t="n"/>
      <c r="F269" s="48" t="n"/>
      <c r="G269" s="65" t="n"/>
    </row>
    <row r="270">
      <c r="A270" s="42" t="n"/>
      <c r="B270" s="62" t="n"/>
      <c r="C270" s="9" t="n"/>
      <c r="D270" s="9" t="n"/>
      <c r="E270" s="37" t="n"/>
      <c r="F270" s="48" t="n"/>
      <c r="G270" s="65" t="n"/>
    </row>
    <row r="271">
      <c r="A271" s="42" t="n"/>
      <c r="B271" s="62" t="n"/>
      <c r="C271" s="9" t="n"/>
      <c r="D271" s="9" t="n"/>
      <c r="E271" s="37" t="n"/>
      <c r="F271" s="48" t="n"/>
      <c r="G271" s="65" t="n"/>
    </row>
    <row r="272">
      <c r="A272" s="42" t="n"/>
      <c r="B272" s="62" t="n"/>
      <c r="C272" s="9" t="n"/>
      <c r="D272" s="9" t="n"/>
      <c r="E272" s="37" t="n"/>
      <c r="F272" s="48" t="n"/>
      <c r="G272" s="65" t="n"/>
    </row>
    <row r="273">
      <c r="A273" s="42" t="n"/>
      <c r="B273" s="62" t="n"/>
      <c r="C273" s="9" t="n"/>
      <c r="D273" s="9" t="n"/>
      <c r="E273" s="37" t="n"/>
      <c r="F273" s="48" t="n"/>
      <c r="G273" s="65" t="n"/>
    </row>
    <row r="274">
      <c r="A274" s="42" t="n"/>
      <c r="B274" s="62" t="n"/>
      <c r="C274" s="9" t="n"/>
      <c r="D274" s="9" t="n"/>
      <c r="E274" s="37" t="n"/>
      <c r="F274" s="48" t="n"/>
      <c r="G274" s="65" t="n"/>
    </row>
    <row r="275">
      <c r="A275" s="42" t="n"/>
      <c r="B275" s="62" t="n"/>
      <c r="C275" s="9" t="n"/>
      <c r="D275" s="9" t="n"/>
      <c r="E275" s="37" t="n"/>
      <c r="F275" s="48" t="n"/>
      <c r="G275" s="65" t="n"/>
    </row>
    <row r="276">
      <c r="A276" s="42" t="n"/>
      <c r="B276" s="62" t="n"/>
      <c r="C276" s="9" t="n"/>
      <c r="D276" s="9" t="n"/>
      <c r="E276" s="37" t="n"/>
      <c r="F276" s="48" t="n"/>
      <c r="G276" s="65" t="n"/>
    </row>
    <row r="277">
      <c r="A277" s="42" t="n"/>
      <c r="B277" s="62" t="n"/>
      <c r="C277" s="9" t="n"/>
      <c r="D277" s="9" t="n"/>
      <c r="E277" s="37" t="n"/>
      <c r="F277" s="48" t="n"/>
      <c r="G277" s="65" t="n"/>
    </row>
    <row r="278">
      <c r="A278" s="42" t="n"/>
      <c r="B278" s="62" t="n"/>
      <c r="C278" s="9" t="n"/>
      <c r="D278" s="9" t="n"/>
      <c r="E278" s="37" t="n"/>
      <c r="F278" s="48" t="n"/>
      <c r="G278" s="65" t="n"/>
    </row>
    <row r="279">
      <c r="A279" s="42" t="n"/>
      <c r="B279" s="62" t="n"/>
      <c r="C279" s="9" t="n"/>
      <c r="D279" s="9" t="n"/>
      <c r="E279" s="37" t="n"/>
      <c r="F279" s="48" t="n"/>
      <c r="G279" s="65" t="n"/>
    </row>
    <row r="280">
      <c r="A280" s="42" t="n"/>
      <c r="B280" s="62" t="n"/>
      <c r="C280" s="9" t="n"/>
      <c r="D280" s="9" t="n"/>
      <c r="E280" s="37" t="n"/>
      <c r="F280" s="48" t="n"/>
      <c r="G280" s="65" t="n"/>
    </row>
    <row r="281">
      <c r="A281" s="42" t="n"/>
      <c r="B281" s="62" t="n"/>
      <c r="C281" s="9" t="n"/>
      <c r="D281" s="9" t="n"/>
      <c r="E281" s="37" t="n"/>
      <c r="F281" s="48" t="n"/>
      <c r="G281" s="65" t="n"/>
    </row>
    <row r="282">
      <c r="A282" s="42" t="n"/>
      <c r="B282" s="62" t="n"/>
      <c r="C282" s="9" t="n"/>
      <c r="D282" s="9" t="n"/>
      <c r="E282" s="37" t="n"/>
      <c r="F282" s="48" t="n"/>
      <c r="G282" s="65" t="n"/>
    </row>
    <row r="283">
      <c r="A283" s="42" t="n"/>
      <c r="B283" s="62" t="n"/>
      <c r="C283" s="9" t="n"/>
      <c r="D283" s="9" t="n"/>
      <c r="E283" s="37" t="n"/>
      <c r="F283" s="48" t="n"/>
      <c r="G283" s="65" t="n"/>
    </row>
    <row r="284">
      <c r="A284" s="42" t="n"/>
      <c r="B284" s="62" t="n"/>
      <c r="C284" s="9" t="n"/>
      <c r="D284" s="9" t="n"/>
      <c r="E284" s="37" t="n"/>
      <c r="F284" s="48" t="n"/>
      <c r="G284" s="65" t="n"/>
    </row>
    <row r="285">
      <c r="A285" s="42" t="n"/>
      <c r="B285" s="62" t="n"/>
      <c r="C285" s="9" t="n"/>
      <c r="D285" s="9" t="n"/>
      <c r="E285" s="37" t="n"/>
      <c r="F285" s="48" t="n"/>
      <c r="G285" s="65" t="n"/>
    </row>
    <row r="286">
      <c r="A286" s="42" t="n"/>
      <c r="B286" s="62" t="n"/>
      <c r="C286" s="9" t="n"/>
      <c r="D286" s="9" t="n"/>
      <c r="E286" s="37" t="n"/>
      <c r="F286" s="48" t="n"/>
      <c r="G286" s="65" t="n"/>
    </row>
    <row r="287">
      <c r="A287" s="42" t="n"/>
      <c r="B287" s="62" t="n"/>
      <c r="C287" s="9" t="n"/>
      <c r="D287" s="9" t="n"/>
      <c r="E287" s="37" t="n"/>
      <c r="F287" s="48" t="n"/>
      <c r="G287" s="65" t="n"/>
    </row>
    <row r="288">
      <c r="A288" s="42" t="n"/>
      <c r="B288" s="62" t="n"/>
      <c r="C288" s="9" t="n"/>
      <c r="D288" s="9" t="n"/>
      <c r="E288" s="37" t="n"/>
      <c r="F288" s="48" t="n"/>
      <c r="G288" s="65" t="n"/>
    </row>
    <row r="289">
      <c r="A289" s="42" t="n"/>
      <c r="B289" s="62" t="n"/>
      <c r="C289" s="9" t="n"/>
      <c r="D289" s="9" t="n"/>
      <c r="E289" s="37" t="n"/>
      <c r="F289" s="48" t="n"/>
      <c r="G289" s="65" t="n"/>
    </row>
    <row r="290">
      <c r="A290" s="42" t="n"/>
      <c r="B290" s="62" t="n"/>
      <c r="C290" s="9" t="n"/>
      <c r="D290" s="9" t="n"/>
      <c r="E290" s="37" t="n"/>
      <c r="F290" s="48" t="n"/>
      <c r="G290" s="65" t="n"/>
    </row>
    <row r="291">
      <c r="A291" s="42" t="n"/>
      <c r="B291" s="62" t="n"/>
      <c r="C291" s="9" t="n"/>
      <c r="D291" s="9" t="n"/>
      <c r="E291" s="37" t="n"/>
      <c r="F291" s="48" t="n"/>
      <c r="G291" s="65" t="n"/>
    </row>
    <row r="292">
      <c r="A292" s="42" t="n"/>
      <c r="B292" s="62" t="n"/>
      <c r="C292" s="9" t="n"/>
      <c r="D292" s="9" t="n"/>
      <c r="E292" s="37" t="n"/>
      <c r="F292" s="48" t="n"/>
      <c r="G292" s="65" t="n"/>
    </row>
    <row r="293">
      <c r="A293" s="42" t="n"/>
      <c r="B293" s="62" t="n"/>
      <c r="C293" s="9" t="n"/>
      <c r="D293" s="9" t="n"/>
      <c r="E293" s="37" t="n"/>
      <c r="F293" s="48" t="n"/>
      <c r="G293" s="65" t="n"/>
    </row>
    <row r="294">
      <c r="A294" s="42" t="n"/>
      <c r="B294" s="62" t="n"/>
      <c r="C294" s="9" t="n"/>
      <c r="D294" s="9" t="n"/>
      <c r="E294" s="37" t="n"/>
      <c r="F294" s="48" t="n"/>
      <c r="G294" s="65" t="n"/>
    </row>
    <row r="295">
      <c r="A295" s="42" t="n"/>
      <c r="B295" s="62" t="n"/>
      <c r="C295" s="9" t="n"/>
      <c r="D295" s="9" t="n"/>
      <c r="E295" s="37" t="n"/>
      <c r="F295" s="48" t="n"/>
      <c r="G295" s="65" t="n"/>
    </row>
    <row r="296">
      <c r="A296" s="42" t="n"/>
      <c r="B296" s="62" t="n"/>
      <c r="C296" s="9" t="n"/>
      <c r="D296" s="9" t="n"/>
      <c r="E296" s="37" t="n"/>
      <c r="F296" s="48" t="n"/>
      <c r="G296" s="65" t="n"/>
    </row>
    <row r="297">
      <c r="A297" s="42" t="n"/>
      <c r="B297" s="62" t="n"/>
      <c r="C297" s="9" t="n"/>
      <c r="D297" s="9" t="n"/>
      <c r="E297" s="37" t="n"/>
      <c r="F297" s="48" t="n"/>
      <c r="G297" s="65" t="n"/>
    </row>
    <row r="298">
      <c r="A298" s="42" t="n"/>
      <c r="B298" s="62" t="n"/>
      <c r="C298" s="9" t="n"/>
      <c r="D298" s="9" t="n"/>
      <c r="E298" s="37" t="n"/>
      <c r="F298" s="48" t="n"/>
      <c r="G298" s="65" t="n"/>
    </row>
    <row r="299">
      <c r="A299" s="42" t="n"/>
      <c r="B299" s="62" t="n"/>
      <c r="C299" s="9" t="n"/>
      <c r="D299" s="9" t="n"/>
      <c r="E299" s="37" t="n"/>
      <c r="F299" s="48" t="n"/>
      <c r="G299" s="65" t="n"/>
    </row>
    <row r="300">
      <c r="A300" s="42" t="n"/>
      <c r="B300" s="62" t="n"/>
      <c r="C300" s="9" t="n"/>
      <c r="D300" s="9" t="n"/>
      <c r="E300" s="37" t="n"/>
      <c r="F300" s="48" t="n"/>
      <c r="G300" s="65" t="n"/>
    </row>
    <row r="301">
      <c r="A301" s="42" t="n"/>
      <c r="B301" s="62" t="n"/>
      <c r="C301" s="9" t="n"/>
      <c r="D301" s="9" t="n"/>
      <c r="E301" s="37" t="n"/>
      <c r="F301" s="48" t="n"/>
      <c r="G301" s="65" t="n"/>
    </row>
    <row r="302">
      <c r="A302" s="42" t="n"/>
      <c r="B302" s="62" t="n"/>
      <c r="C302" s="9" t="n"/>
      <c r="D302" s="9" t="n"/>
      <c r="E302" s="37" t="n"/>
      <c r="F302" s="48" t="n"/>
      <c r="G302" s="65" t="n"/>
    </row>
    <row r="303">
      <c r="A303" s="42" t="n"/>
      <c r="B303" s="62" t="n"/>
      <c r="C303" s="9" t="n"/>
      <c r="D303" s="9" t="n"/>
      <c r="E303" s="37" t="n"/>
      <c r="F303" s="48" t="n"/>
      <c r="G303" s="65" t="n"/>
    </row>
    <row r="304">
      <c r="A304" s="42" t="n"/>
      <c r="B304" s="62" t="n"/>
      <c r="C304" s="9" t="n"/>
      <c r="D304" s="9" t="n"/>
      <c r="E304" s="37" t="n"/>
      <c r="F304" s="48" t="n"/>
      <c r="G304" s="65" t="n"/>
    </row>
    <row r="305">
      <c r="A305" s="42" t="n"/>
      <c r="B305" s="62" t="n"/>
      <c r="C305" s="9" t="n"/>
      <c r="D305" s="9" t="n"/>
      <c r="E305" s="37" t="n"/>
      <c r="F305" s="48" t="n"/>
      <c r="G305" s="65" t="n"/>
    </row>
    <row r="306">
      <c r="A306" s="42" t="n"/>
      <c r="B306" s="62" t="n"/>
      <c r="C306" s="9" t="n"/>
      <c r="D306" s="9" t="n"/>
      <c r="E306" s="37" t="n"/>
      <c r="F306" s="48" t="n"/>
      <c r="G306" s="65" t="n"/>
    </row>
    <row r="307">
      <c r="A307" s="42" t="n"/>
      <c r="B307" s="62" t="n"/>
      <c r="C307" s="9" t="n"/>
      <c r="D307" s="9" t="n"/>
      <c r="E307" s="37" t="n"/>
      <c r="F307" s="48" t="n"/>
      <c r="G307" s="65" t="n"/>
    </row>
    <row r="308">
      <c r="A308" s="42" t="n"/>
      <c r="B308" s="62" t="n"/>
      <c r="C308" s="9" t="n"/>
      <c r="D308" s="9" t="n"/>
      <c r="E308" s="37" t="n"/>
      <c r="F308" s="48" t="n"/>
      <c r="G308" s="65" t="n"/>
    </row>
    <row r="309">
      <c r="A309" s="42" t="n"/>
      <c r="B309" s="62" t="n"/>
      <c r="C309" s="9" t="n"/>
      <c r="D309" s="9" t="n"/>
      <c r="E309" s="37" t="n"/>
      <c r="F309" s="48" t="n"/>
      <c r="G309" s="65" t="n"/>
    </row>
    <row r="310">
      <c r="A310" s="42" t="n"/>
      <c r="B310" s="62" t="n"/>
      <c r="C310" s="9" t="n"/>
      <c r="D310" s="9" t="n"/>
      <c r="E310" s="37" t="n"/>
      <c r="F310" s="48" t="n"/>
      <c r="G310" s="65" t="n"/>
    </row>
    <row r="311">
      <c r="A311" s="42" t="n"/>
      <c r="B311" s="62" t="n"/>
      <c r="C311" s="9" t="n"/>
      <c r="D311" s="9" t="n"/>
      <c r="E311" s="37" t="n"/>
      <c r="F311" s="48" t="n"/>
      <c r="G311" s="65" t="n"/>
    </row>
    <row r="312">
      <c r="A312" s="42" t="n"/>
      <c r="B312" s="62" t="n"/>
      <c r="C312" s="9" t="n"/>
      <c r="D312" s="9" t="n"/>
      <c r="E312" s="37" t="n"/>
      <c r="F312" s="48" t="n"/>
      <c r="G312" s="65" t="n"/>
    </row>
    <row r="313">
      <c r="A313" s="42" t="n"/>
      <c r="B313" s="62" t="n"/>
      <c r="C313" s="9" t="n"/>
      <c r="D313" s="9" t="n"/>
      <c r="E313" s="37" t="n"/>
      <c r="F313" s="48" t="n"/>
      <c r="G313" s="65" t="n"/>
    </row>
    <row r="314">
      <c r="A314" s="42" t="n"/>
      <c r="B314" s="62" t="n"/>
      <c r="C314" s="9" t="n"/>
      <c r="D314" s="9" t="n"/>
      <c r="E314" s="37" t="n"/>
      <c r="F314" s="48" t="n"/>
      <c r="G314" s="65" t="n"/>
    </row>
    <row r="315">
      <c r="A315" s="42" t="n"/>
      <c r="B315" s="62" t="n"/>
      <c r="C315" s="9" t="n"/>
      <c r="D315" s="9" t="n"/>
      <c r="E315" s="37" t="n"/>
      <c r="F315" s="48" t="n"/>
      <c r="G315" s="65" t="n"/>
    </row>
    <row r="316">
      <c r="A316" s="42" t="n"/>
      <c r="B316" s="62" t="n"/>
      <c r="C316" s="9" t="n"/>
      <c r="D316" s="9" t="n"/>
      <c r="E316" s="37" t="n"/>
      <c r="F316" s="48" t="n"/>
      <c r="G316" s="65" t="n"/>
    </row>
    <row r="317">
      <c r="A317" s="42" t="n"/>
      <c r="B317" s="62" t="n"/>
      <c r="C317" s="9" t="n"/>
      <c r="D317" s="9" t="n"/>
      <c r="E317" s="37" t="n"/>
      <c r="F317" s="48" t="n"/>
      <c r="G317" s="65" t="n"/>
    </row>
    <row r="318">
      <c r="A318" s="42" t="n"/>
      <c r="B318" s="62" t="n"/>
      <c r="C318" s="9" t="n"/>
      <c r="D318" s="9" t="n"/>
      <c r="E318" s="37" t="n"/>
      <c r="F318" s="48" t="n"/>
      <c r="G318" s="65" t="n"/>
    </row>
    <row r="319">
      <c r="A319" s="42" t="n"/>
      <c r="B319" s="62" t="n"/>
      <c r="C319" s="9" t="n"/>
      <c r="D319" s="9" t="n"/>
      <c r="E319" s="37" t="n"/>
      <c r="F319" s="48" t="n"/>
      <c r="G319" s="65" t="n"/>
    </row>
    <row r="320">
      <c r="A320" s="42" t="n"/>
      <c r="B320" s="62" t="n"/>
      <c r="C320" s="9" t="n"/>
      <c r="D320" s="9" t="n"/>
      <c r="E320" s="37" t="n"/>
      <c r="F320" s="48" t="n"/>
      <c r="G320" s="65" t="n"/>
    </row>
    <row r="321">
      <c r="A321" s="42" t="n"/>
      <c r="B321" s="62" t="n"/>
      <c r="C321" s="9" t="n"/>
      <c r="D321" s="9" t="n"/>
      <c r="E321" s="37" t="n"/>
      <c r="F321" s="48" t="n"/>
      <c r="G321" s="65" t="n"/>
    </row>
    <row r="322">
      <c r="A322" s="42" t="n"/>
      <c r="B322" s="62" t="n"/>
      <c r="C322" s="9" t="n"/>
      <c r="D322" s="9" t="n"/>
      <c r="E322" s="37" t="n"/>
      <c r="F322" s="48" t="n"/>
      <c r="G322" s="65" t="n"/>
    </row>
    <row r="323">
      <c r="A323" s="42" t="n"/>
      <c r="B323" s="62" t="n"/>
      <c r="C323" s="9" t="n"/>
      <c r="D323" s="9" t="n"/>
      <c r="E323" s="37" t="n"/>
      <c r="F323" s="48" t="n"/>
      <c r="G323" s="65" t="n"/>
    </row>
    <row r="324">
      <c r="A324" s="42" t="n"/>
      <c r="B324" s="62" t="n"/>
      <c r="C324" s="9" t="n"/>
      <c r="D324" s="9" t="n"/>
      <c r="E324" s="37" t="n"/>
      <c r="F324" s="48" t="n"/>
      <c r="G324" s="65" t="n"/>
    </row>
    <row r="325">
      <c r="A325" s="42" t="n"/>
      <c r="B325" s="62" t="n"/>
      <c r="C325" s="9" t="n"/>
      <c r="D325" s="9" t="n"/>
      <c r="E325" s="37" t="n"/>
      <c r="F325" s="48" t="n"/>
      <c r="G325" s="65" t="n"/>
    </row>
    <row r="326">
      <c r="A326" s="42" t="n"/>
      <c r="B326" s="62" t="n"/>
      <c r="C326" s="9" t="n"/>
      <c r="D326" s="9" t="n"/>
      <c r="E326" s="37" t="n"/>
      <c r="F326" s="48" t="n"/>
      <c r="G326" s="65" t="n"/>
    </row>
    <row r="327">
      <c r="A327" s="42" t="n"/>
      <c r="B327" s="62" t="n"/>
      <c r="C327" s="9" t="n"/>
      <c r="D327" s="9" t="n"/>
      <c r="E327" s="37" t="n"/>
      <c r="F327" s="48" t="n"/>
      <c r="G327" s="65" t="n"/>
    </row>
    <row r="328">
      <c r="A328" s="42" t="n"/>
      <c r="B328" s="62" t="n"/>
      <c r="C328" s="9" t="n"/>
      <c r="D328" s="9" t="n"/>
      <c r="E328" s="37" t="n"/>
      <c r="F328" s="48" t="n"/>
      <c r="G328" s="65" t="n"/>
    </row>
    <row r="329">
      <c r="A329" s="42" t="n"/>
      <c r="B329" s="62" t="n"/>
      <c r="C329" s="9" t="n"/>
      <c r="D329" s="9" t="n"/>
      <c r="E329" s="37" t="n"/>
      <c r="F329" s="48" t="n"/>
      <c r="G329" s="65" t="n"/>
    </row>
    <row r="330">
      <c r="A330" s="42" t="n"/>
      <c r="B330" s="62" t="n"/>
      <c r="C330" s="9" t="n"/>
      <c r="D330" s="9" t="n"/>
      <c r="E330" s="37" t="n"/>
      <c r="F330" s="48" t="n"/>
      <c r="G330" s="65" t="n"/>
    </row>
    <row r="331">
      <c r="A331" s="42" t="n"/>
      <c r="B331" s="62" t="n"/>
      <c r="C331" s="9" t="n"/>
      <c r="D331" s="9" t="n"/>
      <c r="E331" s="37" t="n"/>
      <c r="F331" s="48" t="n"/>
      <c r="G331" s="65" t="n"/>
    </row>
    <row r="332">
      <c r="A332" s="42" t="n"/>
      <c r="B332" s="62" t="n"/>
      <c r="C332" s="9" t="n"/>
      <c r="D332" s="9" t="n"/>
      <c r="E332" s="37" t="n"/>
      <c r="F332" s="48" t="n"/>
      <c r="G332" s="65" t="n"/>
    </row>
    <row r="333">
      <c r="A333" s="42" t="n"/>
      <c r="B333" s="62" t="n"/>
      <c r="C333" s="9" t="n"/>
      <c r="D333" s="9" t="n"/>
      <c r="E333" s="37" t="n"/>
      <c r="F333" s="48" t="n"/>
      <c r="G333" s="65" t="n"/>
    </row>
    <row r="334">
      <c r="A334" s="42" t="n"/>
      <c r="B334" s="62" t="n"/>
      <c r="C334" s="9" t="n"/>
      <c r="D334" s="9" t="n"/>
      <c r="E334" s="37" t="n"/>
      <c r="F334" s="48" t="n"/>
      <c r="G334" s="65" t="n"/>
    </row>
    <row r="335">
      <c r="A335" s="42" t="n"/>
      <c r="B335" s="62" t="n"/>
      <c r="C335" s="9" t="n"/>
      <c r="D335" s="9" t="n"/>
      <c r="E335" s="37" t="n"/>
      <c r="F335" s="48" t="n"/>
      <c r="G335" s="65" t="n"/>
    </row>
    <row r="336">
      <c r="A336" s="42" t="n"/>
      <c r="B336" s="62" t="n"/>
      <c r="C336" s="9" t="n"/>
      <c r="D336" s="9" t="n"/>
      <c r="E336" s="37" t="n"/>
      <c r="F336" s="48" t="n"/>
      <c r="G336" s="65" t="n"/>
    </row>
    <row r="337">
      <c r="A337" s="42" t="n"/>
      <c r="B337" s="62" t="n"/>
      <c r="C337" s="9" t="n"/>
      <c r="D337" s="9" t="n"/>
      <c r="E337" s="37" t="n"/>
      <c r="F337" s="48" t="n"/>
      <c r="G337" s="65" t="n"/>
    </row>
    <row r="338">
      <c r="A338" s="42" t="n"/>
      <c r="B338" s="62" t="n"/>
      <c r="C338" s="9" t="n"/>
      <c r="D338" s="9" t="n"/>
      <c r="E338" s="37" t="n"/>
      <c r="F338" s="48" t="n"/>
      <c r="G338" s="65" t="n"/>
    </row>
    <row r="339">
      <c r="A339" s="42" t="n"/>
      <c r="B339" s="62" t="n"/>
      <c r="C339" s="9" t="n"/>
      <c r="D339" s="9" t="n"/>
      <c r="E339" s="37" t="n"/>
      <c r="F339" s="48" t="n"/>
      <c r="G339" s="65" t="n"/>
    </row>
    <row r="340">
      <c r="A340" s="42" t="n"/>
      <c r="B340" s="62" t="n"/>
      <c r="C340" s="9" t="n"/>
      <c r="D340" s="9" t="n"/>
      <c r="E340" s="37" t="n"/>
      <c r="F340" s="48" t="n"/>
      <c r="G340" s="65" t="n"/>
    </row>
    <row r="341">
      <c r="A341" s="42" t="n"/>
      <c r="B341" s="62" t="n"/>
      <c r="C341" s="9" t="n"/>
      <c r="D341" s="9" t="n"/>
      <c r="E341" s="37" t="n"/>
      <c r="F341" s="48" t="n"/>
      <c r="G341" s="65" t="n"/>
    </row>
    <row r="342">
      <c r="A342" s="42" t="n"/>
      <c r="B342" s="62" t="n"/>
      <c r="C342" s="9" t="n"/>
      <c r="D342" s="9" t="n"/>
      <c r="E342" s="37" t="n"/>
      <c r="F342" s="48" t="n"/>
      <c r="G342" s="65" t="n"/>
    </row>
    <row r="343">
      <c r="A343" s="42" t="n"/>
      <c r="B343" s="62" t="n"/>
      <c r="C343" s="9" t="n"/>
      <c r="D343" s="9" t="n"/>
      <c r="E343" s="37" t="n"/>
      <c r="F343" s="48" t="n"/>
      <c r="G343" s="65" t="n"/>
    </row>
    <row r="344">
      <c r="A344" s="42" t="n"/>
      <c r="B344" s="62" t="n"/>
      <c r="C344" s="9" t="n"/>
      <c r="D344" s="9" t="n"/>
      <c r="E344" s="37" t="n"/>
      <c r="F344" s="48" t="n"/>
      <c r="G344" s="65" t="n"/>
    </row>
    <row r="345">
      <c r="A345" s="42" t="n"/>
      <c r="B345" s="62" t="n"/>
      <c r="C345" s="9" t="n"/>
      <c r="D345" s="9" t="n"/>
      <c r="E345" s="37" t="n"/>
      <c r="F345" s="48" t="n"/>
      <c r="G345" s="65" t="n"/>
    </row>
    <row r="346">
      <c r="A346" s="42" t="n"/>
      <c r="B346" s="62" t="n"/>
      <c r="C346" s="9" t="n"/>
      <c r="D346" s="9" t="n"/>
      <c r="E346" s="37" t="n"/>
      <c r="F346" s="48" t="n"/>
      <c r="G346" s="65" t="n"/>
    </row>
    <row r="347">
      <c r="A347" s="42" t="n"/>
      <c r="B347" s="62" t="n"/>
      <c r="C347" s="9" t="n"/>
      <c r="D347" s="9" t="n"/>
      <c r="E347" s="37" t="n"/>
      <c r="F347" s="48" t="n"/>
      <c r="G347" s="65" t="n"/>
    </row>
    <row r="348">
      <c r="A348" s="42" t="n"/>
      <c r="B348" s="62" t="n"/>
      <c r="C348" s="9" t="n"/>
      <c r="D348" s="9" t="n"/>
      <c r="E348" s="37" t="n"/>
      <c r="F348" s="48" t="n"/>
      <c r="G348" s="65" t="n"/>
    </row>
    <row r="349">
      <c r="A349" s="42" t="n"/>
      <c r="B349" s="62" t="n"/>
      <c r="C349" s="9" t="n"/>
      <c r="D349" s="9" t="n"/>
      <c r="E349" s="37" t="n"/>
      <c r="F349" s="48" t="n"/>
      <c r="G349" s="65" t="n"/>
    </row>
    <row r="350">
      <c r="A350" s="42" t="n"/>
      <c r="B350" s="62" t="n"/>
      <c r="C350" s="9" t="n"/>
      <c r="D350" s="9" t="n"/>
      <c r="E350" s="37" t="n"/>
      <c r="F350" s="48" t="n"/>
      <c r="G350" s="65" t="n"/>
    </row>
    <row r="351">
      <c r="A351" s="42" t="n"/>
      <c r="B351" s="62" t="n"/>
      <c r="C351" s="9" t="n"/>
      <c r="D351" s="9" t="n"/>
      <c r="E351" s="37" t="n"/>
      <c r="F351" s="48" t="n"/>
      <c r="G351" s="65" t="n"/>
    </row>
    <row r="352">
      <c r="A352" s="42" t="n"/>
      <c r="B352" s="62" t="n"/>
      <c r="C352" s="9" t="n"/>
      <c r="D352" s="9" t="n"/>
      <c r="E352" s="37" t="n"/>
      <c r="F352" s="48" t="n"/>
      <c r="G352" s="65" t="n"/>
    </row>
    <row r="353">
      <c r="A353" s="42" t="n"/>
      <c r="B353" s="62" t="n"/>
      <c r="C353" s="9" t="n"/>
      <c r="D353" s="9" t="n"/>
      <c r="E353" s="37" t="n"/>
      <c r="F353" s="48" t="n"/>
      <c r="G353" s="65" t="n"/>
    </row>
    <row r="354">
      <c r="A354" s="42" t="n"/>
      <c r="B354" s="62" t="n"/>
      <c r="C354" s="9" t="n"/>
      <c r="D354" s="9" t="n"/>
      <c r="E354" s="37" t="n"/>
      <c r="F354" s="48" t="n"/>
      <c r="G354" s="65" t="n"/>
    </row>
    <row r="355">
      <c r="A355" s="42" t="n"/>
      <c r="B355" s="62" t="n"/>
      <c r="C355" s="9" t="n"/>
      <c r="D355" s="9" t="n"/>
      <c r="E355" s="37" t="n"/>
      <c r="F355" s="48" t="n"/>
      <c r="G355" s="65" t="n"/>
    </row>
    <row r="356">
      <c r="A356" s="42" t="n"/>
      <c r="B356" s="62" t="n"/>
      <c r="C356" s="9" t="n"/>
      <c r="D356" s="9" t="n"/>
      <c r="E356" s="37" t="n"/>
      <c r="F356" s="48" t="n"/>
      <c r="G356" s="65" t="n"/>
    </row>
    <row r="357">
      <c r="A357" s="42" t="n"/>
      <c r="B357" s="62" t="n"/>
      <c r="C357" s="9" t="n"/>
      <c r="D357" s="9" t="n"/>
      <c r="E357" s="37" t="n"/>
      <c r="F357" s="48" t="n"/>
      <c r="G357" s="65" t="n"/>
    </row>
    <row r="358">
      <c r="A358" s="42" t="n"/>
      <c r="B358" s="62" t="n"/>
      <c r="C358" s="9" t="n"/>
      <c r="D358" s="9" t="n"/>
      <c r="E358" s="37" t="n"/>
      <c r="F358" s="48" t="n"/>
      <c r="G358" s="65" t="n"/>
    </row>
    <row r="359">
      <c r="A359" s="42" t="n"/>
      <c r="B359" s="62" t="n"/>
      <c r="C359" s="9" t="n"/>
      <c r="D359" s="9" t="n"/>
      <c r="E359" s="37" t="n"/>
      <c r="F359" s="48" t="n"/>
      <c r="G359" s="65" t="n"/>
    </row>
    <row r="360">
      <c r="A360" s="42" t="n"/>
      <c r="B360" s="62" t="n"/>
      <c r="C360" s="9" t="n"/>
      <c r="D360" s="9" t="n"/>
      <c r="E360" s="37" t="n"/>
      <c r="F360" s="48" t="n"/>
      <c r="G360" s="65" t="n"/>
    </row>
    <row r="361">
      <c r="A361" s="42" t="n"/>
      <c r="B361" s="62" t="n"/>
      <c r="C361" s="9" t="n"/>
      <c r="D361" s="9" t="n"/>
      <c r="E361" s="37" t="n"/>
      <c r="F361" s="48" t="n"/>
      <c r="G361" s="65" t="n"/>
    </row>
    <row r="362">
      <c r="A362" s="42" t="n"/>
      <c r="B362" s="62" t="n"/>
      <c r="C362" s="9" t="n"/>
      <c r="D362" s="9" t="n"/>
      <c r="E362" s="37" t="n"/>
      <c r="F362" s="48" t="n"/>
      <c r="G362" s="65" t="n"/>
    </row>
    <row r="363">
      <c r="A363" s="42" t="n"/>
      <c r="B363" s="62" t="n"/>
      <c r="C363" s="9" t="n"/>
      <c r="D363" s="9" t="n"/>
      <c r="E363" s="37" t="n"/>
      <c r="F363" s="48" t="n"/>
      <c r="G363" s="65" t="n"/>
    </row>
    <row r="364">
      <c r="A364" s="42" t="n"/>
      <c r="B364" s="62" t="n"/>
      <c r="C364" s="9" t="n"/>
      <c r="D364" s="9" t="n"/>
      <c r="E364" s="37" t="n"/>
      <c r="F364" s="48" t="n"/>
      <c r="G364" s="65" t="n"/>
    </row>
    <row r="365">
      <c r="A365" s="42" t="n"/>
      <c r="B365" s="62" t="n"/>
      <c r="C365" s="9" t="n"/>
      <c r="D365" s="9" t="n"/>
      <c r="E365" s="37" t="n"/>
      <c r="F365" s="48" t="n"/>
      <c r="G365" s="65" t="n"/>
    </row>
    <row r="366">
      <c r="A366" s="42" t="n"/>
      <c r="B366" s="62" t="n"/>
      <c r="C366" s="9" t="n"/>
      <c r="D366" s="9" t="n"/>
      <c r="E366" s="37" t="n"/>
      <c r="F366" s="48" t="n"/>
      <c r="G366" s="65" t="n"/>
    </row>
    <row r="367">
      <c r="A367" s="42" t="n"/>
      <c r="B367" s="62" t="n"/>
      <c r="C367" s="9" t="n"/>
      <c r="D367" s="9" t="n"/>
      <c r="E367" s="37" t="n"/>
      <c r="F367" s="48" t="n"/>
      <c r="G367" s="65" t="n"/>
    </row>
    <row r="368">
      <c r="A368" s="42" t="n"/>
      <c r="B368" s="62" t="n"/>
      <c r="C368" s="9" t="n"/>
      <c r="D368" s="9" t="n"/>
      <c r="E368" s="37" t="n"/>
      <c r="F368" s="48" t="n"/>
      <c r="G368" s="65" t="n"/>
    </row>
    <row r="369">
      <c r="A369" s="42" t="n"/>
      <c r="B369" s="62" t="n"/>
      <c r="C369" s="9" t="n"/>
      <c r="D369" s="9" t="n"/>
      <c r="E369" s="37" t="n"/>
      <c r="F369" s="48" t="n"/>
      <c r="G369" s="65" t="n"/>
    </row>
    <row r="370">
      <c r="A370" s="42" t="n"/>
      <c r="B370" s="62" t="n"/>
      <c r="C370" s="9" t="n"/>
      <c r="D370" s="9" t="n"/>
      <c r="E370" s="37" t="n"/>
      <c r="F370" s="48" t="n"/>
      <c r="G370" s="65" t="n"/>
    </row>
    <row r="371">
      <c r="A371" s="42" t="n"/>
      <c r="B371" s="62" t="n"/>
      <c r="C371" s="9" t="n"/>
      <c r="D371" s="9" t="n"/>
      <c r="E371" s="37" t="n"/>
      <c r="F371" s="48" t="n"/>
      <c r="G371" s="65" t="n"/>
    </row>
    <row r="372">
      <c r="A372" s="42" t="n"/>
      <c r="B372" s="62" t="n"/>
      <c r="C372" s="9" t="n"/>
      <c r="D372" s="9" t="n"/>
      <c r="E372" s="37" t="n"/>
      <c r="F372" s="48" t="n"/>
      <c r="G372" s="65" t="n"/>
    </row>
    <row r="373">
      <c r="A373" s="42" t="n"/>
      <c r="B373" s="62" t="n"/>
      <c r="C373" s="9" t="n"/>
      <c r="D373" s="9" t="n"/>
      <c r="E373" s="37" t="n"/>
      <c r="F373" s="48" t="n"/>
      <c r="G373" s="65" t="n"/>
    </row>
    <row r="374">
      <c r="A374" s="42" t="n"/>
      <c r="B374" s="62" t="n"/>
      <c r="C374" s="9" t="n"/>
      <c r="D374" s="9" t="n"/>
      <c r="E374" s="37" t="n"/>
      <c r="F374" s="48" t="n"/>
      <c r="G374" s="65" t="n"/>
    </row>
    <row r="375">
      <c r="A375" s="42" t="n"/>
      <c r="B375" s="62" t="n"/>
      <c r="C375" s="9" t="n"/>
      <c r="D375" s="9" t="n"/>
      <c r="E375" s="37" t="n"/>
      <c r="F375" s="48" t="n"/>
      <c r="G375" s="65" t="n"/>
    </row>
    <row r="376">
      <c r="A376" s="42" t="n"/>
      <c r="B376" s="62" t="n"/>
      <c r="C376" s="9" t="n"/>
      <c r="D376" s="9" t="n"/>
      <c r="E376" s="37" t="n"/>
      <c r="F376" s="48" t="n"/>
      <c r="G376" s="65" t="n"/>
    </row>
    <row r="377">
      <c r="A377" s="42" t="n"/>
      <c r="B377" s="62" t="n"/>
      <c r="C377" s="9" t="n"/>
      <c r="D377" s="9" t="n"/>
      <c r="E377" s="37" t="n"/>
      <c r="F377" s="48" t="n"/>
      <c r="G377" s="65" t="n"/>
    </row>
    <row r="378">
      <c r="A378" s="42" t="n"/>
      <c r="B378" s="62" t="n"/>
      <c r="C378" s="9" t="n"/>
      <c r="D378" s="9" t="n"/>
      <c r="E378" s="37" t="n"/>
      <c r="F378" s="48" t="n"/>
      <c r="G378" s="65" t="n"/>
    </row>
    <row r="379">
      <c r="A379" s="42" t="n"/>
      <c r="B379" s="62" t="n"/>
      <c r="C379" s="9" t="n"/>
      <c r="D379" s="9" t="n"/>
      <c r="E379" s="37" t="n"/>
      <c r="F379" s="48" t="n"/>
      <c r="G379" s="65" t="n"/>
    </row>
    <row r="380">
      <c r="A380" s="42" t="n"/>
      <c r="B380" s="62" t="n"/>
      <c r="C380" s="9" t="n"/>
      <c r="D380" s="9" t="n"/>
      <c r="E380" s="37" t="n"/>
      <c r="F380" s="48" t="n"/>
      <c r="G380" s="65" t="n"/>
    </row>
    <row r="381">
      <c r="A381" s="42" t="n"/>
      <c r="B381" s="62" t="n"/>
      <c r="C381" s="9" t="n"/>
      <c r="D381" s="9" t="n"/>
      <c r="E381" s="37" t="n"/>
      <c r="F381" s="48" t="n"/>
      <c r="G381" s="65" t="n"/>
    </row>
    <row r="382">
      <c r="A382" s="42" t="n"/>
      <c r="B382" s="62" t="n"/>
      <c r="C382" s="9" t="n"/>
      <c r="D382" s="9" t="n"/>
      <c r="E382" s="37" t="n"/>
      <c r="F382" s="48" t="n"/>
      <c r="G382" s="65" t="n"/>
    </row>
    <row r="383">
      <c r="A383" s="42" t="n"/>
      <c r="B383" s="62" t="n"/>
      <c r="C383" s="9" t="n"/>
      <c r="D383" s="9" t="n"/>
      <c r="E383" s="37" t="n"/>
      <c r="F383" s="48" t="n"/>
      <c r="G383" s="65" t="n"/>
    </row>
    <row r="384">
      <c r="A384" s="42" t="n"/>
      <c r="B384" s="62" t="n"/>
      <c r="C384" s="9" t="n"/>
      <c r="D384" s="9" t="n"/>
      <c r="E384" s="37" t="n"/>
      <c r="F384" s="48" t="n"/>
      <c r="G384" s="65" t="n"/>
    </row>
    <row r="385">
      <c r="A385" s="42" t="n"/>
      <c r="B385" s="62" t="n"/>
      <c r="C385" s="9" t="n"/>
      <c r="D385" s="9" t="n"/>
      <c r="E385" s="37" t="n"/>
      <c r="F385" s="48" t="n"/>
      <c r="G385" s="65" t="n"/>
    </row>
    <row r="386">
      <c r="A386" s="42" t="n"/>
      <c r="B386" s="62" t="n"/>
      <c r="C386" s="9" t="n"/>
      <c r="D386" s="9" t="n"/>
      <c r="E386" s="37" t="n"/>
      <c r="F386" s="48" t="n"/>
      <c r="G386" s="65" t="n"/>
    </row>
    <row r="387">
      <c r="A387" s="42" t="n"/>
      <c r="B387" s="62" t="n"/>
      <c r="C387" s="9" t="n"/>
      <c r="D387" s="9" t="n"/>
      <c r="E387" s="37" t="n"/>
      <c r="F387" s="48" t="n"/>
      <c r="G387" s="65" t="n"/>
    </row>
    <row r="388">
      <c r="A388" s="42" t="n"/>
      <c r="B388" s="62" t="n"/>
      <c r="C388" s="9" t="n"/>
      <c r="D388" s="9" t="n"/>
      <c r="E388" s="37" t="n"/>
      <c r="F388" s="48" t="n"/>
      <c r="G388" s="65" t="n"/>
    </row>
    <row r="389">
      <c r="A389" s="42" t="n"/>
      <c r="B389" s="62" t="n"/>
      <c r="C389" s="9" t="n"/>
      <c r="D389" s="9" t="n"/>
      <c r="E389" s="37" t="n"/>
      <c r="F389" s="48" t="n"/>
      <c r="G389" s="65" t="n"/>
    </row>
    <row r="390">
      <c r="A390" s="42" t="n"/>
      <c r="B390" s="62" t="n"/>
      <c r="C390" s="9" t="n"/>
      <c r="D390" s="9" t="n"/>
      <c r="E390" s="37" t="n"/>
      <c r="F390" s="48" t="n"/>
      <c r="G390" s="65" t="n"/>
    </row>
    <row r="391">
      <c r="A391" s="42" t="n"/>
      <c r="B391" s="62" t="n"/>
      <c r="C391" s="9" t="n"/>
      <c r="D391" s="9" t="n"/>
      <c r="E391" s="37" t="n"/>
      <c r="F391" s="48" t="n"/>
      <c r="G391" s="65" t="n"/>
    </row>
    <row r="392">
      <c r="A392" s="42" t="n"/>
      <c r="B392" s="62" t="n"/>
      <c r="C392" s="9" t="n"/>
      <c r="D392" s="9" t="n"/>
      <c r="E392" s="37" t="n"/>
      <c r="F392" s="48" t="n"/>
      <c r="G392" s="65" t="n"/>
    </row>
    <row r="393">
      <c r="A393" s="42" t="n"/>
      <c r="B393" s="62" t="n"/>
      <c r="C393" s="9" t="n"/>
      <c r="D393" s="9" t="n"/>
      <c r="E393" s="37" t="n"/>
      <c r="F393" s="48" t="n"/>
      <c r="G393" s="65" t="n"/>
    </row>
    <row r="394">
      <c r="A394" s="42" t="n"/>
      <c r="B394" s="62" t="n"/>
      <c r="C394" s="9" t="n"/>
      <c r="D394" s="9" t="n"/>
      <c r="E394" s="37" t="n"/>
      <c r="F394" s="48" t="n"/>
      <c r="G394" s="65" t="n"/>
    </row>
    <row r="395">
      <c r="A395" s="42" t="n"/>
      <c r="B395" s="62" t="n"/>
      <c r="C395" s="9" t="n"/>
      <c r="D395" s="9" t="n"/>
      <c r="E395" s="37" t="n"/>
      <c r="F395" s="48" t="n"/>
      <c r="G395" s="65" t="n"/>
    </row>
    <row r="396">
      <c r="A396" s="42" t="n"/>
      <c r="B396" s="62" t="n"/>
      <c r="C396" s="9" t="n"/>
      <c r="D396" s="9" t="n"/>
      <c r="E396" s="37" t="n"/>
      <c r="F396" s="48" t="n"/>
      <c r="G396" s="65" t="n"/>
    </row>
    <row r="397">
      <c r="A397" s="42" t="n"/>
      <c r="B397" s="62" t="n"/>
      <c r="C397" s="9" t="n"/>
      <c r="D397" s="9" t="n"/>
      <c r="E397" s="37" t="n"/>
      <c r="F397" s="48" t="n"/>
      <c r="G397" s="65" t="n"/>
    </row>
    <row r="398">
      <c r="A398" s="42" t="n"/>
      <c r="B398" s="62" t="n"/>
      <c r="C398" s="9" t="n"/>
      <c r="D398" s="9" t="n"/>
      <c r="E398" s="37" t="n"/>
      <c r="F398" s="48" t="n"/>
      <c r="G398" s="65" t="n"/>
    </row>
    <row r="399">
      <c r="A399" s="42" t="n"/>
      <c r="B399" s="62" t="n"/>
      <c r="C399" s="9" t="n"/>
      <c r="D399" s="9" t="n"/>
      <c r="E399" s="37" t="n"/>
      <c r="F399" s="48" t="n"/>
      <c r="G399" s="65" t="n"/>
    </row>
    <row r="400">
      <c r="A400" s="42" t="n"/>
      <c r="B400" s="62" t="n"/>
      <c r="C400" s="9" t="n"/>
      <c r="D400" s="9" t="n"/>
      <c r="E400" s="37" t="n"/>
      <c r="F400" s="48" t="n"/>
      <c r="G400" s="65" t="n"/>
    </row>
    <row r="401">
      <c r="A401" s="42" t="n"/>
      <c r="B401" s="62" t="n"/>
      <c r="C401" s="9" t="n"/>
      <c r="D401" s="9" t="n"/>
      <c r="E401" s="37" t="n"/>
      <c r="F401" s="48" t="n"/>
      <c r="G401" s="65" t="n"/>
    </row>
    <row r="402">
      <c r="A402" s="42" t="n"/>
      <c r="B402" s="62" t="n"/>
      <c r="C402" s="9" t="n"/>
      <c r="D402" s="9" t="n"/>
      <c r="E402" s="37" t="n"/>
      <c r="F402" s="48" t="n"/>
      <c r="G402" s="65" t="n"/>
    </row>
    <row r="403">
      <c r="A403" s="42" t="n"/>
      <c r="B403" s="62" t="n"/>
      <c r="C403" s="9" t="n"/>
      <c r="D403" s="9" t="n"/>
      <c r="E403" s="37" t="n"/>
      <c r="F403" s="48" t="n"/>
      <c r="G403" s="65" t="n"/>
    </row>
    <row r="404">
      <c r="A404" s="42" t="n"/>
      <c r="B404" s="62" t="n"/>
      <c r="C404" s="9" t="n"/>
      <c r="D404" s="9" t="n"/>
      <c r="E404" s="37" t="n"/>
      <c r="F404" s="48" t="n"/>
      <c r="G404" s="65" t="n"/>
    </row>
    <row r="405">
      <c r="A405" s="42" t="n"/>
      <c r="B405" s="62" t="n"/>
      <c r="C405" s="9" t="n"/>
      <c r="D405" s="9" t="n"/>
      <c r="E405" s="37" t="n"/>
      <c r="F405" s="48" t="n"/>
      <c r="G405" s="65" t="n"/>
    </row>
    <row r="406">
      <c r="A406" s="42" t="n"/>
      <c r="B406" s="62" t="n"/>
      <c r="C406" s="9" t="n"/>
      <c r="D406" s="9" t="n"/>
      <c r="E406" s="37" t="n"/>
      <c r="F406" s="48" t="n"/>
      <c r="G406" s="65" t="n"/>
    </row>
    <row r="407">
      <c r="A407" s="42" t="n"/>
      <c r="B407" s="62" t="n"/>
      <c r="C407" s="9" t="n"/>
      <c r="D407" s="9" t="n"/>
      <c r="E407" s="37" t="n"/>
      <c r="F407" s="48" t="n"/>
      <c r="G407" s="65" t="n"/>
    </row>
    <row r="408">
      <c r="A408" s="42" t="n"/>
      <c r="B408" s="62" t="n"/>
      <c r="C408" s="9" t="n"/>
      <c r="D408" s="9" t="n"/>
      <c r="E408" s="37" t="n"/>
      <c r="F408" s="48" t="n"/>
      <c r="G408" s="65" t="n"/>
    </row>
    <row r="409">
      <c r="A409" s="42" t="n"/>
      <c r="B409" s="62" t="n"/>
      <c r="C409" s="9" t="n"/>
      <c r="D409" s="9" t="n"/>
      <c r="E409" s="37" t="n"/>
      <c r="F409" s="48" t="n"/>
      <c r="G409" s="65" t="n"/>
    </row>
    <row r="410">
      <c r="A410" s="42" t="n"/>
      <c r="B410" s="62" t="n"/>
      <c r="C410" s="9" t="n"/>
      <c r="D410" s="9" t="n"/>
      <c r="E410" s="37" t="n"/>
      <c r="F410" s="48" t="n"/>
      <c r="G410" s="65" t="n"/>
    </row>
    <row r="411">
      <c r="A411" s="42" t="n"/>
      <c r="B411" s="62" t="n"/>
      <c r="C411" s="9" t="n"/>
      <c r="D411" s="9" t="n"/>
      <c r="E411" s="37" t="n"/>
      <c r="F411" s="48" t="n"/>
      <c r="G411" s="65" t="n"/>
    </row>
    <row r="412">
      <c r="A412" s="42" t="n"/>
      <c r="B412" s="62" t="n"/>
      <c r="C412" s="9" t="n"/>
      <c r="D412" s="9" t="n"/>
      <c r="E412" s="37" t="n"/>
      <c r="F412" s="48" t="n"/>
      <c r="G412" s="65" t="n"/>
    </row>
    <row r="413">
      <c r="A413" s="42" t="n"/>
      <c r="B413" s="62" t="n"/>
      <c r="C413" s="9" t="n"/>
      <c r="D413" s="9" t="n"/>
      <c r="E413" s="37" t="n"/>
      <c r="F413" s="48" t="n"/>
      <c r="G413" s="65" t="n"/>
    </row>
    <row r="414">
      <c r="A414" s="42" t="n"/>
      <c r="B414" s="62" t="n"/>
      <c r="C414" s="9" t="n"/>
      <c r="D414" s="9" t="n"/>
      <c r="E414" s="37" t="n"/>
      <c r="F414" s="48" t="n"/>
      <c r="G414" s="65" t="n"/>
    </row>
    <row r="415">
      <c r="A415" s="42" t="n"/>
      <c r="B415" s="62" t="n"/>
      <c r="C415" s="9" t="n"/>
      <c r="D415" s="9" t="n"/>
      <c r="E415" s="37" t="n"/>
      <c r="F415" s="48" t="n"/>
      <c r="G415" s="65" t="n"/>
    </row>
    <row r="416">
      <c r="A416" s="42" t="n"/>
      <c r="B416" s="62" t="n"/>
      <c r="C416" s="9" t="n"/>
      <c r="D416" s="9" t="n"/>
      <c r="E416" s="37" t="n"/>
      <c r="F416" s="48" t="n"/>
      <c r="G416" s="65" t="n"/>
    </row>
    <row r="417">
      <c r="A417" s="42" t="n"/>
      <c r="B417" s="62" t="n"/>
      <c r="C417" s="9" t="n"/>
      <c r="D417" s="9" t="n"/>
      <c r="E417" s="37" t="n"/>
      <c r="F417" s="48" t="n"/>
      <c r="G417" s="65" t="n"/>
    </row>
    <row r="418">
      <c r="A418" s="42" t="n"/>
      <c r="B418" s="62" t="n"/>
      <c r="C418" s="9" t="n"/>
      <c r="D418" s="9" t="n"/>
      <c r="E418" s="37" t="n"/>
      <c r="F418" s="48" t="n"/>
      <c r="G418" s="65" t="n"/>
    </row>
    <row r="419">
      <c r="A419" s="42" t="n"/>
      <c r="B419" s="62" t="n"/>
      <c r="C419" s="9" t="n"/>
      <c r="D419" s="9" t="n"/>
      <c r="E419" s="37" t="n"/>
      <c r="F419" s="48" t="n"/>
      <c r="G419" s="65" t="n"/>
    </row>
    <row r="420">
      <c r="A420" s="42" t="n"/>
      <c r="B420" s="62" t="n"/>
      <c r="C420" s="9" t="n"/>
      <c r="D420" s="9" t="n"/>
      <c r="E420" s="37" t="n"/>
      <c r="F420" s="48" t="n"/>
      <c r="G420" s="65" t="n"/>
    </row>
    <row r="421">
      <c r="A421" s="42" t="n"/>
      <c r="B421" s="62" t="n"/>
      <c r="C421" s="9" t="n"/>
      <c r="D421" s="9" t="n"/>
      <c r="E421" s="37" t="n"/>
      <c r="F421" s="48" t="n"/>
      <c r="G421" s="65" t="n"/>
    </row>
    <row r="422">
      <c r="A422" s="42" t="n"/>
      <c r="B422" s="62" t="n"/>
      <c r="C422" s="9" t="n"/>
      <c r="D422" s="9" t="n"/>
      <c r="E422" s="37" t="n"/>
      <c r="F422" s="48" t="n"/>
      <c r="G422" s="65" t="n"/>
    </row>
    <row r="423">
      <c r="A423" s="42" t="n"/>
      <c r="B423" s="62" t="n"/>
      <c r="C423" s="9" t="n"/>
      <c r="D423" s="9" t="n"/>
      <c r="E423" s="37" t="n"/>
      <c r="F423" s="48" t="n"/>
      <c r="G423" s="65" t="n"/>
    </row>
    <row r="424">
      <c r="A424" s="42" t="n"/>
      <c r="B424" s="62" t="n"/>
      <c r="C424" s="9" t="n"/>
      <c r="D424" s="9" t="n"/>
      <c r="E424" s="37" t="n"/>
      <c r="F424" s="48" t="n"/>
      <c r="G424" s="65" t="n"/>
    </row>
    <row r="425">
      <c r="A425" s="42" t="n"/>
      <c r="B425" s="62" t="n"/>
      <c r="C425" s="9" t="n"/>
      <c r="D425" s="9" t="n"/>
      <c r="E425" s="37" t="n"/>
      <c r="F425" s="48" t="n"/>
      <c r="G425" s="65" t="n"/>
    </row>
    <row r="426">
      <c r="A426" s="42" t="n"/>
      <c r="B426" s="62" t="n"/>
      <c r="C426" s="9" t="n"/>
      <c r="D426" s="9" t="n"/>
      <c r="E426" s="37" t="n"/>
      <c r="F426" s="48" t="n"/>
      <c r="G426" s="65" t="n"/>
    </row>
    <row r="427">
      <c r="A427" s="42" t="n"/>
      <c r="B427" s="62" t="n"/>
      <c r="C427" s="9" t="n"/>
      <c r="D427" s="9" t="n"/>
      <c r="E427" s="37" t="n"/>
      <c r="F427" s="48" t="n"/>
      <c r="G427" s="65" t="n"/>
    </row>
    <row r="428">
      <c r="A428" s="42" t="n"/>
      <c r="B428" s="62" t="n"/>
      <c r="C428" s="9" t="n"/>
      <c r="D428" s="9" t="n"/>
      <c r="E428" s="37" t="n"/>
      <c r="F428" s="48" t="n"/>
      <c r="G428" s="65" t="n"/>
    </row>
    <row r="429">
      <c r="A429" s="42" t="n"/>
      <c r="B429" s="62" t="n"/>
      <c r="C429" s="9" t="n"/>
      <c r="D429" s="9" t="n"/>
      <c r="E429" s="37" t="n"/>
      <c r="F429" s="48" t="n"/>
      <c r="G429" s="65" t="n"/>
    </row>
    <row r="430">
      <c r="A430" s="42" t="n"/>
      <c r="B430" s="62" t="n"/>
      <c r="C430" s="9" t="n"/>
      <c r="D430" s="9" t="n"/>
      <c r="E430" s="37" t="n"/>
      <c r="F430" s="48" t="n"/>
      <c r="G430" s="65" t="n"/>
    </row>
    <row r="431">
      <c r="A431" s="42" t="n"/>
      <c r="B431" s="62" t="n"/>
      <c r="C431" s="9" t="n"/>
      <c r="D431" s="9" t="n"/>
      <c r="E431" s="37" t="n"/>
      <c r="F431" s="48" t="n"/>
      <c r="G431" s="65" t="n"/>
    </row>
    <row r="432">
      <c r="A432" s="42" t="n"/>
      <c r="B432" s="62" t="n"/>
      <c r="C432" s="9" t="n"/>
      <c r="D432" s="9" t="n"/>
      <c r="E432" s="37" t="n"/>
      <c r="F432" s="48" t="n"/>
      <c r="G432" s="65" t="n"/>
    </row>
    <row r="433">
      <c r="A433" s="42" t="n"/>
      <c r="B433" s="62" t="n"/>
      <c r="C433" s="9" t="n"/>
      <c r="D433" s="9" t="n"/>
      <c r="E433" s="37" t="n"/>
      <c r="F433" s="48" t="n"/>
      <c r="G433" s="65" t="n"/>
    </row>
    <row r="434">
      <c r="A434" s="42" t="n"/>
      <c r="B434" s="62" t="n"/>
      <c r="C434" s="9" t="n"/>
      <c r="D434" s="9" t="n"/>
      <c r="E434" s="37" t="n"/>
      <c r="F434" s="48" t="n"/>
      <c r="G434" s="65" t="n"/>
    </row>
    <row r="435">
      <c r="A435" s="42" t="n"/>
      <c r="B435" s="62" t="n"/>
      <c r="C435" s="9" t="n"/>
      <c r="D435" s="9" t="n"/>
      <c r="E435" s="37" t="n"/>
      <c r="F435" s="48" t="n"/>
      <c r="G435" s="65" t="n"/>
    </row>
    <row r="436">
      <c r="A436" s="42" t="n"/>
      <c r="B436" s="62" t="n"/>
      <c r="C436" s="9" t="n"/>
      <c r="D436" s="9" t="n"/>
      <c r="E436" s="37" t="n"/>
      <c r="F436" s="48" t="n"/>
      <c r="G436" s="65" t="n"/>
    </row>
    <row r="437">
      <c r="A437" s="42" t="n"/>
      <c r="B437" s="62" t="n"/>
      <c r="C437" s="9" t="n"/>
      <c r="D437" s="9" t="n"/>
      <c r="E437" s="37" t="n"/>
      <c r="F437" s="48" t="n"/>
      <c r="G437" s="65" t="n"/>
    </row>
    <row r="438">
      <c r="A438" s="42" t="n"/>
      <c r="B438" s="62" t="n"/>
      <c r="C438" s="9" t="n"/>
      <c r="D438" s="9" t="n"/>
      <c r="E438" s="37" t="n"/>
      <c r="F438" s="48" t="n"/>
      <c r="G438" s="65" t="n"/>
    </row>
    <row r="439">
      <c r="A439" s="42" t="n"/>
      <c r="B439" s="62" t="n"/>
      <c r="C439" s="9" t="n"/>
      <c r="D439" s="9" t="n"/>
      <c r="E439" s="37" t="n"/>
      <c r="F439" s="48" t="n"/>
      <c r="G439" s="65" t="n"/>
    </row>
    <row r="440">
      <c r="A440" s="42" t="n"/>
      <c r="B440" s="62" t="n"/>
      <c r="C440" s="9" t="n"/>
      <c r="D440" s="9" t="n"/>
      <c r="E440" s="37" t="n"/>
      <c r="F440" s="48" t="n"/>
      <c r="G440" s="65" t="n"/>
    </row>
    <row r="441">
      <c r="A441" s="42" t="n"/>
      <c r="B441" s="62" t="n"/>
      <c r="C441" s="9" t="n"/>
      <c r="D441" s="9" t="n"/>
      <c r="E441" s="37" t="n"/>
      <c r="F441" s="48" t="n"/>
      <c r="G441" s="65" t="n"/>
    </row>
    <row r="442">
      <c r="A442" s="42" t="n"/>
      <c r="B442" s="62" t="n"/>
      <c r="C442" s="9" t="n"/>
      <c r="D442" s="9" t="n"/>
      <c r="E442" s="37" t="n"/>
      <c r="F442" s="48" t="n"/>
      <c r="G442" s="65" t="n"/>
    </row>
    <row r="443">
      <c r="A443" s="42" t="n"/>
      <c r="B443" s="62" t="n"/>
      <c r="C443" s="9" t="n"/>
      <c r="D443" s="9" t="n"/>
      <c r="E443" s="37" t="n"/>
      <c r="F443" s="48" t="n"/>
      <c r="G443" s="65" t="n"/>
    </row>
    <row r="444">
      <c r="A444" s="42" t="n"/>
      <c r="B444" s="62" t="n"/>
      <c r="C444" s="9" t="n"/>
      <c r="D444" s="9" t="n"/>
      <c r="E444" s="37" t="n"/>
      <c r="F444" s="48" t="n"/>
      <c r="G444" s="65" t="n"/>
    </row>
    <row r="445">
      <c r="A445" s="42" t="n"/>
      <c r="B445" s="62" t="n"/>
      <c r="C445" s="9" t="n"/>
      <c r="D445" s="9" t="n"/>
      <c r="E445" s="37" t="n"/>
      <c r="F445" s="48" t="n"/>
      <c r="G445" s="65" t="n"/>
    </row>
    <row r="446">
      <c r="A446" s="42" t="n"/>
      <c r="B446" s="62" t="n"/>
      <c r="C446" s="9" t="n"/>
      <c r="D446" s="9" t="n"/>
      <c r="E446" s="37" t="n"/>
      <c r="F446" s="48" t="n"/>
      <c r="G446" s="65" t="n"/>
    </row>
    <row r="447">
      <c r="A447" s="42" t="n"/>
      <c r="B447" s="62" t="n"/>
      <c r="C447" s="9" t="n"/>
      <c r="D447" s="9" t="n"/>
      <c r="E447" s="37" t="n"/>
      <c r="F447" s="48" t="n"/>
      <c r="G447" s="65" t="n"/>
    </row>
    <row r="448">
      <c r="A448" s="42" t="n"/>
      <c r="B448" s="62" t="n"/>
      <c r="C448" s="9" t="n"/>
      <c r="D448" s="9" t="n"/>
      <c r="E448" s="37" t="n"/>
      <c r="F448" s="48" t="n"/>
      <c r="G448" s="65" t="n"/>
    </row>
    <row r="449">
      <c r="A449" s="42" t="n"/>
      <c r="B449" s="62" t="n"/>
      <c r="C449" s="9" t="n"/>
      <c r="D449" s="9" t="n"/>
      <c r="E449" s="37" t="n"/>
      <c r="F449" s="48" t="n"/>
      <c r="G449" s="65" t="n"/>
    </row>
    <row r="450">
      <c r="A450" s="42" t="n"/>
      <c r="B450" s="62" t="n"/>
      <c r="C450" s="9" t="n"/>
      <c r="D450" s="9" t="n"/>
      <c r="E450" s="37" t="n"/>
      <c r="F450" s="48" t="n"/>
      <c r="G450" s="65" t="n"/>
    </row>
    <row r="451">
      <c r="A451" s="42" t="n"/>
      <c r="B451" s="62" t="n"/>
      <c r="C451" s="9" t="n"/>
      <c r="D451" s="9" t="n"/>
      <c r="E451" s="37" t="n"/>
      <c r="F451" s="48" t="n"/>
      <c r="G451" s="65" t="n"/>
    </row>
    <row r="452">
      <c r="A452" s="42" t="n"/>
      <c r="B452" s="62" t="n"/>
      <c r="C452" s="9" t="n"/>
      <c r="D452" s="9" t="n"/>
      <c r="E452" s="37" t="n"/>
      <c r="F452" s="48" t="n"/>
      <c r="G452" s="65" t="n"/>
    </row>
    <row r="453">
      <c r="A453" s="42" t="n"/>
      <c r="B453" s="62" t="n"/>
      <c r="C453" s="9" t="n"/>
      <c r="D453" s="9" t="n"/>
      <c r="E453" s="37" t="n"/>
      <c r="F453" s="48" t="n"/>
      <c r="G453" s="65" t="n"/>
    </row>
    <row r="454">
      <c r="A454" s="42" t="n"/>
      <c r="B454" s="62" t="n"/>
      <c r="C454" s="9" t="n"/>
      <c r="D454" s="9" t="n"/>
      <c r="E454" s="37" t="n"/>
      <c r="F454" s="48" t="n"/>
      <c r="G454" s="65" t="n"/>
    </row>
    <row r="455">
      <c r="A455" s="42" t="n"/>
      <c r="B455" s="62" t="n"/>
      <c r="C455" s="9" t="n"/>
      <c r="D455" s="9" t="n"/>
      <c r="E455" s="37" t="n"/>
      <c r="F455" s="48" t="n"/>
      <c r="G455" s="65" t="n"/>
    </row>
    <row r="456">
      <c r="A456" s="42" t="n"/>
      <c r="B456" s="62" t="n"/>
      <c r="C456" s="9" t="n"/>
      <c r="D456" s="9" t="n"/>
      <c r="E456" s="37" t="n"/>
      <c r="F456" s="48" t="n"/>
      <c r="G456" s="65" t="n"/>
    </row>
    <row r="457">
      <c r="A457" s="42" t="n"/>
      <c r="B457" s="62" t="n"/>
      <c r="C457" s="9" t="n"/>
      <c r="D457" s="9" t="n"/>
      <c r="E457" s="37" t="n"/>
      <c r="F457" s="48" t="n"/>
      <c r="G457" s="65" t="n"/>
    </row>
    <row r="458">
      <c r="A458" s="42" t="n"/>
      <c r="B458" s="62" t="n"/>
      <c r="C458" s="9" t="n"/>
      <c r="D458" s="9" t="n"/>
      <c r="E458" s="37" t="n"/>
      <c r="F458" s="48" t="n"/>
      <c r="G458" s="65" t="n"/>
    </row>
    <row r="459">
      <c r="A459" s="42" t="n"/>
      <c r="B459" s="62" t="n"/>
      <c r="C459" s="9" t="n"/>
      <c r="D459" s="9" t="n"/>
      <c r="E459" s="37" t="n"/>
      <c r="F459" s="48" t="n"/>
      <c r="G459" s="65" t="n"/>
    </row>
    <row r="460">
      <c r="A460" s="42" t="n"/>
      <c r="B460" s="62" t="n"/>
      <c r="C460" s="9" t="n"/>
      <c r="D460" s="9" t="n"/>
      <c r="E460" s="37" t="n"/>
      <c r="F460" s="48" t="n"/>
      <c r="G460" s="65" t="n"/>
    </row>
    <row r="461">
      <c r="A461" s="42" t="n"/>
      <c r="B461" s="62" t="n"/>
      <c r="C461" s="9" t="n"/>
      <c r="D461" s="9" t="n"/>
      <c r="E461" s="37" t="n"/>
      <c r="F461" s="48" t="n"/>
      <c r="G461" s="65" t="n"/>
    </row>
    <row r="462">
      <c r="A462" s="42" t="n"/>
      <c r="B462" s="62" t="n"/>
      <c r="C462" s="9" t="n"/>
      <c r="D462" s="9" t="n"/>
      <c r="E462" s="37" t="n"/>
      <c r="F462" s="48" t="n"/>
      <c r="G462" s="65" t="n"/>
    </row>
    <row r="463">
      <c r="A463" s="42" t="n"/>
      <c r="B463" s="62" t="n"/>
      <c r="C463" s="9" t="n"/>
      <c r="D463" s="9" t="n"/>
      <c r="E463" s="37" t="n"/>
      <c r="F463" s="48" t="n"/>
      <c r="G463" s="65" t="n"/>
    </row>
    <row r="464">
      <c r="A464" s="42" t="n"/>
      <c r="B464" s="62" t="n"/>
      <c r="C464" s="9" t="n"/>
      <c r="D464" s="9" t="n"/>
      <c r="E464" s="37" t="n"/>
      <c r="F464" s="48" t="n"/>
      <c r="G464" s="65" t="n"/>
    </row>
    <row r="465">
      <c r="A465" s="42" t="n"/>
      <c r="B465" s="62" t="n"/>
      <c r="C465" s="9" t="n"/>
      <c r="D465" s="9" t="n"/>
      <c r="E465" s="37" t="n"/>
      <c r="F465" s="48" t="n"/>
      <c r="G465" s="65" t="n"/>
    </row>
    <row r="466">
      <c r="A466" s="42" t="n"/>
      <c r="B466" s="62" t="n"/>
      <c r="C466" s="9" t="n"/>
      <c r="D466" s="9" t="n"/>
      <c r="E466" s="37" t="n"/>
      <c r="F466" s="48" t="n"/>
      <c r="G466" s="65" t="n"/>
    </row>
    <row r="467">
      <c r="A467" s="42" t="n"/>
      <c r="B467" s="62" t="n"/>
      <c r="C467" s="9" t="n"/>
      <c r="D467" s="9" t="n"/>
      <c r="E467" s="37" t="n"/>
      <c r="F467" s="48" t="n"/>
      <c r="G467" s="65" t="n"/>
    </row>
    <row r="468">
      <c r="A468" s="42" t="n"/>
      <c r="B468" s="62" t="n"/>
      <c r="C468" s="9" t="n"/>
      <c r="D468" s="9" t="n"/>
      <c r="E468" s="37" t="n"/>
      <c r="F468" s="48" t="n"/>
      <c r="G468" s="65" t="n"/>
    </row>
    <row r="469">
      <c r="A469" s="42" t="n"/>
      <c r="B469" s="62" t="n"/>
      <c r="C469" s="9" t="n"/>
      <c r="D469" s="9" t="n"/>
      <c r="E469" s="37" t="n"/>
      <c r="F469" s="48" t="n"/>
      <c r="G469" s="65" t="n"/>
    </row>
    <row r="470">
      <c r="A470" s="42" t="n"/>
      <c r="B470" s="62" t="n"/>
      <c r="C470" s="9" t="n"/>
      <c r="D470" s="9" t="n"/>
      <c r="E470" s="37" t="n"/>
      <c r="F470" s="48" t="n"/>
      <c r="G470" s="65" t="n"/>
    </row>
    <row r="471">
      <c r="A471" s="42" t="n"/>
      <c r="B471" s="62" t="n"/>
      <c r="C471" s="9" t="n"/>
      <c r="D471" s="9" t="n"/>
      <c r="E471" s="37" t="n"/>
      <c r="F471" s="48" t="n"/>
      <c r="G471" s="65" t="n"/>
    </row>
    <row r="472">
      <c r="A472" s="42" t="n"/>
      <c r="B472" s="62" t="n"/>
      <c r="C472" s="9" t="n"/>
      <c r="D472" s="9" t="n"/>
      <c r="E472" s="37" t="n"/>
      <c r="F472" s="48" t="n"/>
      <c r="G472" s="65" t="n"/>
    </row>
    <row r="473">
      <c r="A473" s="42" t="n"/>
      <c r="B473" s="62" t="n"/>
      <c r="C473" s="9" t="n"/>
      <c r="D473" s="9" t="n"/>
      <c r="E473" s="37" t="n"/>
      <c r="F473" s="48" t="n"/>
      <c r="G473" s="65" t="n"/>
    </row>
    <row r="474">
      <c r="A474" s="42" t="n"/>
      <c r="B474" s="62" t="n"/>
      <c r="C474" s="9" t="n"/>
      <c r="D474" s="9" t="n"/>
      <c r="E474" s="37" t="n"/>
      <c r="F474" s="48" t="n"/>
      <c r="G474" s="65" t="n"/>
    </row>
    <row r="475">
      <c r="A475" s="42" t="n"/>
      <c r="B475" s="62" t="n"/>
      <c r="C475" s="9" t="n"/>
      <c r="D475" s="9" t="n"/>
      <c r="E475" s="37" t="n"/>
      <c r="F475" s="48" t="n"/>
      <c r="G475" s="65" t="n"/>
    </row>
    <row r="476">
      <c r="A476" s="42" t="n"/>
      <c r="B476" s="62" t="n"/>
      <c r="C476" s="9" t="n"/>
      <c r="D476" s="9" t="n"/>
      <c r="E476" s="37" t="n"/>
      <c r="F476" s="48" t="n"/>
      <c r="G476" s="65" t="n"/>
    </row>
    <row r="477">
      <c r="A477" s="42" t="n"/>
      <c r="B477" s="62" t="n"/>
      <c r="C477" s="9" t="n"/>
      <c r="D477" s="9" t="n"/>
      <c r="E477" s="37" t="n"/>
      <c r="F477" s="48" t="n"/>
      <c r="G477" s="65" t="n"/>
    </row>
    <row r="478">
      <c r="A478" s="42" t="n"/>
      <c r="B478" s="62" t="n"/>
      <c r="C478" s="9" t="n"/>
      <c r="D478" s="9" t="n"/>
      <c r="E478" s="37" t="n"/>
      <c r="F478" s="48" t="n"/>
      <c r="G478" s="65" t="n"/>
    </row>
    <row r="479">
      <c r="A479" s="42" t="n"/>
      <c r="B479" s="62" t="n"/>
      <c r="C479" s="9" t="n"/>
      <c r="D479" s="9" t="n"/>
      <c r="E479" s="37" t="n"/>
      <c r="F479" s="48" t="n"/>
      <c r="G479" s="65" t="n"/>
    </row>
    <row r="480">
      <c r="A480" s="42" t="n"/>
      <c r="B480" s="62" t="n"/>
      <c r="C480" s="9" t="n"/>
      <c r="D480" s="9" t="n"/>
      <c r="E480" s="37" t="n"/>
      <c r="F480" s="48" t="n"/>
      <c r="G480" s="65" t="n"/>
    </row>
    <row r="481">
      <c r="A481" s="42" t="n"/>
      <c r="B481" s="62" t="n"/>
      <c r="C481" s="9" t="n"/>
      <c r="D481" s="9" t="n"/>
      <c r="E481" s="37" t="n"/>
      <c r="F481" s="48" t="n"/>
      <c r="G481" s="65" t="n"/>
    </row>
    <row r="482">
      <c r="A482" s="42" t="n"/>
      <c r="B482" s="62" t="n"/>
      <c r="C482" s="9" t="n"/>
      <c r="D482" s="9" t="n"/>
      <c r="E482" s="37" t="n"/>
      <c r="F482" s="48" t="n"/>
      <c r="G482" s="65" t="n"/>
    </row>
    <row r="483">
      <c r="A483" s="42" t="n"/>
      <c r="B483" s="62" t="n"/>
      <c r="C483" s="9" t="n"/>
      <c r="D483" s="9" t="n"/>
      <c r="E483" s="37" t="n"/>
      <c r="F483" s="48" t="n"/>
      <c r="G483" s="65" t="n"/>
    </row>
    <row r="484">
      <c r="A484" s="42" t="n"/>
      <c r="B484" s="62" t="n"/>
      <c r="C484" s="9" t="n"/>
      <c r="D484" s="9" t="n"/>
      <c r="E484" s="37" t="n"/>
      <c r="F484" s="48" t="n"/>
      <c r="G484" s="65" t="n"/>
    </row>
    <row r="485">
      <c r="A485" s="42" t="n"/>
      <c r="B485" s="62" t="n"/>
      <c r="C485" s="9" t="n"/>
      <c r="D485" s="9" t="n"/>
      <c r="E485" s="37" t="n"/>
      <c r="F485" s="48" t="n"/>
      <c r="G485" s="65" t="n"/>
    </row>
    <row r="486">
      <c r="A486" s="42" t="n"/>
      <c r="B486" s="62" t="n"/>
      <c r="C486" s="9" t="n"/>
      <c r="D486" s="9" t="n"/>
      <c r="E486" s="37" t="n"/>
      <c r="F486" s="48" t="n"/>
      <c r="G486" s="65" t="n"/>
    </row>
    <row r="487">
      <c r="A487" s="42" t="n"/>
      <c r="B487" s="62" t="n"/>
      <c r="C487" s="9" t="n"/>
      <c r="D487" s="9" t="n"/>
      <c r="E487" s="37" t="n"/>
      <c r="F487" s="48" t="n"/>
      <c r="G487" s="65" t="n"/>
    </row>
    <row r="488">
      <c r="A488" s="42" t="n"/>
      <c r="B488" s="62" t="n"/>
      <c r="C488" s="9" t="n"/>
      <c r="D488" s="9" t="n"/>
      <c r="E488" s="37" t="n"/>
      <c r="F488" s="48" t="n"/>
      <c r="G488" s="65" t="n"/>
    </row>
    <row r="489">
      <c r="A489" s="42" t="n"/>
      <c r="B489" s="62" t="n"/>
      <c r="C489" s="9" t="n"/>
      <c r="D489" s="9" t="n"/>
      <c r="E489" s="37" t="n"/>
      <c r="F489" s="48" t="n"/>
      <c r="G489" s="65" t="n"/>
    </row>
    <row r="490">
      <c r="A490" s="42" t="n"/>
      <c r="B490" s="62" t="n"/>
      <c r="C490" s="9" t="n"/>
      <c r="D490" s="9" t="n"/>
      <c r="E490" s="37" t="n"/>
      <c r="F490" s="48" t="n"/>
      <c r="G490" s="65" t="n"/>
    </row>
    <row r="491">
      <c r="A491" s="42" t="n"/>
      <c r="B491" s="62" t="n"/>
      <c r="C491" s="9" t="n"/>
      <c r="D491" s="9" t="n"/>
      <c r="E491" s="37" t="n"/>
      <c r="F491" s="48" t="n"/>
      <c r="G491" s="65" t="n"/>
    </row>
    <row r="492">
      <c r="A492" s="42" t="n"/>
      <c r="B492" s="62" t="n"/>
      <c r="C492" s="9" t="n"/>
      <c r="D492" s="9" t="n"/>
      <c r="E492" s="37" t="n"/>
      <c r="F492" s="48" t="n"/>
      <c r="G492" s="65" t="n"/>
    </row>
    <row r="493">
      <c r="A493" s="42" t="n"/>
      <c r="B493" s="62" t="n"/>
      <c r="C493" s="9" t="n"/>
      <c r="D493" s="9" t="n"/>
      <c r="E493" s="37" t="n"/>
      <c r="F493" s="48" t="n"/>
      <c r="G493" s="65" t="n"/>
    </row>
    <row r="494">
      <c r="A494" s="42" t="n"/>
      <c r="B494" s="62" t="n"/>
      <c r="C494" s="9" t="n"/>
      <c r="D494" s="9" t="n"/>
      <c r="E494" s="37" t="n"/>
      <c r="F494" s="48" t="n"/>
      <c r="G494" s="65" t="n"/>
    </row>
    <row r="495">
      <c r="A495" s="42" t="n"/>
      <c r="B495" s="62" t="n"/>
      <c r="C495" s="9" t="n"/>
      <c r="D495" s="9" t="n"/>
      <c r="E495" s="37" t="n"/>
      <c r="F495" s="48" t="n"/>
      <c r="G495" s="65" t="n"/>
    </row>
    <row r="496">
      <c r="A496" s="42" t="n"/>
      <c r="B496" s="62" t="n"/>
      <c r="C496" s="9" t="n"/>
      <c r="D496" s="9" t="n"/>
      <c r="E496" s="37" t="n"/>
      <c r="F496" s="48" t="n"/>
      <c r="G496" s="65" t="n"/>
    </row>
    <row r="497">
      <c r="A497" s="42" t="n"/>
      <c r="B497" s="62" t="n"/>
      <c r="C497" s="9" t="n"/>
      <c r="D497" s="9" t="n"/>
      <c r="E497" s="37" t="n"/>
      <c r="F497" s="48" t="n"/>
      <c r="G497" s="65" t="n"/>
    </row>
    <row r="498">
      <c r="A498" s="42" t="n"/>
      <c r="B498" s="62" t="n"/>
      <c r="C498" s="9" t="n"/>
      <c r="D498" s="9" t="n"/>
      <c r="E498" s="37" t="n"/>
      <c r="F498" s="48" t="n"/>
      <c r="G498" s="65" t="n"/>
    </row>
    <row r="499">
      <c r="A499" s="42" t="n"/>
      <c r="B499" s="62" t="n"/>
      <c r="C499" s="9" t="n"/>
      <c r="D499" s="9" t="n"/>
      <c r="E499" s="37" t="n"/>
      <c r="F499" s="48" t="n"/>
      <c r="G499" s="65" t="n"/>
    </row>
    <row r="500">
      <c r="A500" s="42" t="n"/>
      <c r="B500" s="62" t="n"/>
      <c r="C500" s="9" t="n"/>
      <c r="D500" s="9" t="n"/>
      <c r="E500" s="37" t="n"/>
      <c r="F500" s="48" t="n"/>
      <c r="G500" s="65" t="n"/>
    </row>
    <row r="501">
      <c r="A501" s="42" t="n"/>
      <c r="B501" s="62" t="n"/>
      <c r="C501" s="9" t="n"/>
      <c r="D501" s="9" t="n"/>
      <c r="E501" s="37" t="n"/>
      <c r="F501" s="48" t="n"/>
      <c r="G501" s="65" t="n"/>
    </row>
    <row r="502">
      <c r="A502" s="42" t="n"/>
      <c r="B502" s="62" t="n"/>
      <c r="C502" s="9" t="n"/>
      <c r="D502" s="9" t="n"/>
      <c r="E502" s="37" t="n"/>
      <c r="F502" s="48" t="n"/>
      <c r="G502" s="65" t="n"/>
    </row>
    <row r="503">
      <c r="A503" s="42" t="n"/>
      <c r="B503" s="62" t="n"/>
      <c r="C503" s="9" t="n"/>
      <c r="D503" s="9" t="n"/>
      <c r="E503" s="37" t="n"/>
      <c r="F503" s="48" t="n"/>
      <c r="G503" s="65" t="n"/>
    </row>
    <row r="504">
      <c r="A504" s="42" t="n"/>
      <c r="B504" s="62" t="n"/>
      <c r="C504" s="9" t="n"/>
      <c r="D504" s="9" t="n"/>
      <c r="E504" s="37" t="n"/>
      <c r="F504" s="48" t="n"/>
      <c r="G504" s="65" t="n"/>
    </row>
    <row r="505">
      <c r="A505" s="42" t="n"/>
      <c r="B505" s="62" t="n"/>
      <c r="C505" s="9" t="n"/>
      <c r="D505" s="9" t="n"/>
      <c r="E505" s="37" t="n"/>
      <c r="F505" s="48" t="n"/>
      <c r="G505" s="65" t="n"/>
    </row>
    <row r="506">
      <c r="A506" s="42" t="n"/>
      <c r="B506" s="62" t="n"/>
      <c r="C506" s="9" t="n"/>
      <c r="D506" s="9" t="n"/>
      <c r="E506" s="37" t="n"/>
      <c r="F506" s="48" t="n"/>
      <c r="G506" s="65" t="n"/>
    </row>
    <row r="507">
      <c r="A507" s="42" t="n"/>
      <c r="B507" s="62" t="n"/>
      <c r="C507" s="9" t="n"/>
      <c r="D507" s="9" t="n"/>
      <c r="E507" s="37" t="n"/>
      <c r="F507" s="48" t="n"/>
      <c r="G507" s="65" t="n"/>
    </row>
    <row r="508">
      <c r="A508" s="42" t="n"/>
      <c r="B508" s="62" t="n"/>
      <c r="C508" s="9" t="n"/>
      <c r="D508" s="9" t="n"/>
      <c r="E508" s="37" t="n"/>
      <c r="F508" s="48" t="n"/>
      <c r="G508" s="65" t="n"/>
    </row>
    <row r="509">
      <c r="A509" s="42" t="n"/>
      <c r="B509" s="62" t="n"/>
      <c r="C509" s="9" t="n"/>
      <c r="D509" s="9" t="n"/>
      <c r="E509" s="37" t="n"/>
      <c r="F509" s="48" t="n"/>
      <c r="G509" s="65" t="n"/>
    </row>
    <row r="510">
      <c r="A510" s="42" t="n"/>
      <c r="B510" s="62" t="n"/>
      <c r="C510" s="9" t="n"/>
      <c r="D510" s="9" t="n"/>
      <c r="E510" s="37" t="n"/>
      <c r="F510" s="48" t="n"/>
      <c r="G510" s="65" t="n"/>
    </row>
    <row r="511">
      <c r="A511" s="42" t="n"/>
      <c r="B511" s="62" t="n"/>
      <c r="C511" s="9" t="n"/>
      <c r="D511" s="9" t="n"/>
      <c r="E511" s="37" t="n"/>
      <c r="F511" s="48" t="n"/>
      <c r="G511" s="65" t="n"/>
    </row>
    <row r="512">
      <c r="A512" s="42" t="n"/>
      <c r="B512" s="62" t="n"/>
      <c r="C512" s="9" t="n"/>
      <c r="D512" s="9" t="n"/>
      <c r="E512" s="37" t="n"/>
      <c r="F512" s="48" t="n"/>
      <c r="G512" s="65" t="n"/>
    </row>
    <row r="513">
      <c r="A513" s="42" t="n"/>
      <c r="B513" s="62" t="n"/>
      <c r="C513" s="9" t="n"/>
      <c r="D513" s="9" t="n"/>
      <c r="E513" s="37" t="n"/>
      <c r="F513" s="48" t="n"/>
      <c r="G513" s="65" t="n"/>
    </row>
    <row r="514">
      <c r="A514" s="42" t="n"/>
      <c r="B514" s="62" t="n"/>
      <c r="C514" s="9" t="n"/>
      <c r="D514" s="9" t="n"/>
      <c r="E514" s="37" t="n"/>
      <c r="F514" s="48" t="n"/>
      <c r="G514" s="65" t="n"/>
    </row>
    <row r="515">
      <c r="A515" s="42" t="n"/>
      <c r="B515" s="62" t="n"/>
      <c r="C515" s="9" t="n"/>
      <c r="D515" s="9" t="n"/>
      <c r="E515" s="37" t="n"/>
      <c r="F515" s="48" t="n"/>
      <c r="G515" s="65" t="n"/>
    </row>
    <row r="516">
      <c r="A516" s="42" t="n"/>
      <c r="B516" s="62" t="n"/>
      <c r="C516" s="9" t="n"/>
      <c r="D516" s="9" t="n"/>
      <c r="E516" s="37" t="n"/>
      <c r="F516" s="48" t="n"/>
      <c r="G516" s="65" t="n"/>
    </row>
    <row r="517">
      <c r="A517" s="42" t="n"/>
      <c r="B517" s="62" t="n"/>
      <c r="C517" s="9" t="n"/>
      <c r="D517" s="9" t="n"/>
      <c r="E517" s="37" t="n"/>
      <c r="F517" s="48" t="n"/>
      <c r="G517" s="65" t="n"/>
    </row>
    <row r="518">
      <c r="A518" s="42" t="n"/>
      <c r="B518" s="62" t="n"/>
      <c r="C518" s="9" t="n"/>
      <c r="D518" s="9" t="n"/>
      <c r="E518" s="37" t="n"/>
      <c r="F518" s="48" t="n"/>
      <c r="G518" s="65" t="n"/>
    </row>
    <row r="519">
      <c r="A519" s="42" t="n"/>
      <c r="B519" s="62" t="n"/>
      <c r="C519" s="9" t="n"/>
      <c r="D519" s="9" t="n"/>
      <c r="E519" s="37" t="n"/>
      <c r="F519" s="48" t="n"/>
      <c r="G519" s="65" t="n"/>
    </row>
    <row r="520">
      <c r="A520" s="42" t="n"/>
      <c r="B520" s="62" t="n"/>
      <c r="C520" s="9" t="n"/>
      <c r="D520" s="9" t="n"/>
      <c r="E520" s="37" t="n"/>
      <c r="F520" s="48" t="n"/>
      <c r="G520" s="65" t="n"/>
    </row>
    <row r="521">
      <c r="A521" s="42" t="n"/>
      <c r="B521" s="62" t="n"/>
      <c r="C521" s="9" t="n"/>
      <c r="D521" s="9" t="n"/>
      <c r="E521" s="37" t="n"/>
      <c r="F521" s="48" t="n"/>
      <c r="G521" s="65" t="n"/>
    </row>
    <row r="522">
      <c r="A522" s="42" t="n"/>
      <c r="B522" s="62" t="n"/>
      <c r="C522" s="9" t="n"/>
      <c r="D522" s="9" t="n"/>
      <c r="E522" s="37" t="n"/>
      <c r="F522" s="48" t="n"/>
      <c r="G522" s="65" t="n"/>
    </row>
    <row r="523">
      <c r="A523" s="42" t="n"/>
      <c r="B523" s="62" t="n"/>
      <c r="C523" s="9" t="n"/>
      <c r="D523" s="9" t="n"/>
      <c r="E523" s="37" t="n"/>
      <c r="F523" s="48" t="n"/>
      <c r="G523" s="65" t="n"/>
    </row>
    <row r="524">
      <c r="A524" s="42" t="n"/>
      <c r="B524" s="62" t="n"/>
      <c r="C524" s="9" t="n"/>
      <c r="D524" s="9" t="n"/>
      <c r="E524" s="37" t="n"/>
      <c r="F524" s="48" t="n"/>
      <c r="G524" s="65" t="n"/>
    </row>
    <row r="525">
      <c r="A525" s="42" t="n"/>
      <c r="B525" s="62" t="n"/>
      <c r="C525" s="9" t="n"/>
      <c r="D525" s="9" t="n"/>
      <c r="E525" s="37" t="n"/>
      <c r="F525" s="48" t="n"/>
      <c r="G525" s="65" t="n"/>
    </row>
    <row r="526">
      <c r="A526" s="42" t="n"/>
      <c r="B526" s="62" t="n"/>
      <c r="C526" s="9" t="n"/>
      <c r="D526" s="9" t="n"/>
      <c r="E526" s="37" t="n"/>
      <c r="F526" s="48" t="n"/>
      <c r="G526" s="65" t="n"/>
    </row>
    <row r="527">
      <c r="A527" s="42" t="n"/>
      <c r="B527" s="62" t="n"/>
      <c r="C527" s="9" t="n"/>
      <c r="D527" s="9" t="n"/>
      <c r="E527" s="37" t="n"/>
      <c r="F527" s="48" t="n"/>
      <c r="G527" s="65" t="n"/>
    </row>
    <row r="528">
      <c r="A528" s="42" t="n"/>
      <c r="B528" s="62" t="n"/>
      <c r="C528" s="9" t="n"/>
      <c r="D528" s="9" t="n"/>
      <c r="E528" s="37" t="n"/>
      <c r="F528" s="48" t="n"/>
      <c r="G528" s="65" t="n"/>
    </row>
    <row r="529">
      <c r="A529" s="42" t="n"/>
      <c r="B529" s="62" t="n"/>
      <c r="C529" s="9" t="n"/>
      <c r="D529" s="9" t="n"/>
      <c r="E529" s="37" t="n"/>
      <c r="F529" s="48" t="n"/>
      <c r="G529" s="65" t="n"/>
    </row>
    <row r="530">
      <c r="A530" s="42" t="n"/>
      <c r="B530" s="62" t="n"/>
      <c r="C530" s="9" t="n"/>
      <c r="D530" s="9" t="n"/>
      <c r="E530" s="37" t="n"/>
      <c r="F530" s="48" t="n"/>
      <c r="G530" s="65" t="n"/>
    </row>
    <row r="531">
      <c r="A531" s="42" t="n"/>
      <c r="B531" s="62" t="n"/>
      <c r="C531" s="9" t="n"/>
      <c r="D531" s="9" t="n"/>
      <c r="E531" s="37" t="n"/>
      <c r="F531" s="48" t="n"/>
      <c r="G531" s="65" t="n"/>
    </row>
    <row r="532">
      <c r="A532" s="42" t="n"/>
      <c r="B532" s="62" t="n"/>
      <c r="C532" s="9" t="n"/>
      <c r="D532" s="9" t="n"/>
      <c r="E532" s="37" t="n"/>
      <c r="F532" s="48" t="n"/>
      <c r="G532" s="65" t="n"/>
    </row>
    <row r="533">
      <c r="A533" s="42" t="n"/>
      <c r="B533" s="62" t="n"/>
      <c r="C533" s="9" t="n"/>
      <c r="D533" s="9" t="n"/>
      <c r="E533" s="37" t="n"/>
      <c r="F533" s="48" t="n"/>
      <c r="G533" s="65" t="n"/>
    </row>
    <row r="534">
      <c r="A534" s="42" t="n"/>
      <c r="B534" s="62" t="n"/>
      <c r="C534" s="9" t="n"/>
      <c r="D534" s="9" t="n"/>
      <c r="E534" s="37" t="n"/>
      <c r="F534" s="48" t="n"/>
      <c r="G534" s="65" t="n"/>
    </row>
    <row r="535">
      <c r="A535" s="42" t="n"/>
      <c r="B535" s="62" t="n"/>
      <c r="C535" s="9" t="n"/>
      <c r="D535" s="9" t="n"/>
      <c r="E535" s="37" t="n"/>
      <c r="F535" s="48" t="n"/>
      <c r="G535" s="65" t="n"/>
    </row>
    <row r="536">
      <c r="A536" s="42" t="n"/>
      <c r="B536" s="62" t="n"/>
      <c r="C536" s="9" t="n"/>
      <c r="D536" s="9" t="n"/>
      <c r="E536" s="37" t="n"/>
      <c r="F536" s="48" t="n"/>
      <c r="G536" s="65" t="n"/>
    </row>
    <row r="537">
      <c r="A537" s="42" t="n"/>
      <c r="B537" s="62" t="n"/>
      <c r="C537" s="9" t="n"/>
      <c r="D537" s="9" t="n"/>
      <c r="E537" s="37" t="n"/>
      <c r="F537" s="48" t="n"/>
      <c r="G537" s="65" t="n"/>
    </row>
    <row r="538">
      <c r="A538" s="42" t="n"/>
      <c r="B538" s="62" t="n"/>
      <c r="C538" s="9" t="n"/>
      <c r="D538" s="9" t="n"/>
      <c r="E538" s="37" t="n"/>
      <c r="F538" s="48" t="n"/>
      <c r="G538" s="65" t="n"/>
    </row>
    <row r="539">
      <c r="A539" s="42" t="n"/>
      <c r="B539" s="62" t="n"/>
      <c r="C539" s="9" t="n"/>
      <c r="D539" s="9" t="n"/>
      <c r="E539" s="37" t="n"/>
      <c r="F539" s="48" t="n"/>
      <c r="G539" s="65" t="n"/>
    </row>
    <row r="540">
      <c r="A540" s="42" t="n"/>
      <c r="B540" s="62" t="n"/>
      <c r="C540" s="9" t="n"/>
      <c r="D540" s="9" t="n"/>
      <c r="E540" s="37" t="n"/>
      <c r="F540" s="48" t="n"/>
      <c r="G540" s="65" t="n"/>
    </row>
    <row r="541">
      <c r="A541" s="42" t="n"/>
      <c r="B541" s="62" t="n"/>
      <c r="C541" s="9" t="n"/>
      <c r="D541" s="9" t="n"/>
      <c r="E541" s="37" t="n"/>
      <c r="F541" s="48" t="n"/>
      <c r="G541" s="65" t="n"/>
    </row>
    <row r="542">
      <c r="A542" s="42" t="n"/>
      <c r="B542" s="62" t="n"/>
      <c r="C542" s="9" t="n"/>
      <c r="D542" s="9" t="n"/>
      <c r="E542" s="37" t="n"/>
      <c r="F542" s="48" t="n"/>
      <c r="G542" s="65" t="n"/>
    </row>
    <row r="543">
      <c r="A543" s="42" t="n"/>
      <c r="B543" s="62" t="n"/>
      <c r="C543" s="9" t="n"/>
      <c r="D543" s="9" t="n"/>
      <c r="E543" s="37" t="n"/>
      <c r="F543" s="48" t="n"/>
      <c r="G543" s="65" t="n"/>
    </row>
    <row r="544">
      <c r="A544" s="42" t="n"/>
      <c r="B544" s="62" t="n"/>
      <c r="C544" s="9" t="n"/>
      <c r="D544" s="9" t="n"/>
      <c r="E544" s="37" t="n"/>
      <c r="F544" s="48" t="n"/>
      <c r="G544" s="65" t="n"/>
    </row>
    <row r="545">
      <c r="A545" s="42" t="n"/>
      <c r="B545" s="62" t="n"/>
      <c r="C545" s="9" t="n"/>
      <c r="D545" s="9" t="n"/>
      <c r="E545" s="37" t="n"/>
      <c r="F545" s="48" t="n"/>
      <c r="G545" s="65" t="n"/>
    </row>
    <row r="546">
      <c r="A546" s="42" t="n"/>
      <c r="B546" s="62" t="n"/>
      <c r="C546" s="9" t="n"/>
      <c r="D546" s="9" t="n"/>
      <c r="E546" s="37" t="n"/>
      <c r="F546" s="48" t="n"/>
      <c r="G546" s="65" t="n"/>
    </row>
    <row r="547">
      <c r="A547" s="42" t="n"/>
      <c r="B547" s="62" t="n"/>
      <c r="C547" s="9" t="n"/>
      <c r="D547" s="9" t="n"/>
      <c r="E547" s="37" t="n"/>
      <c r="F547" s="48" t="n"/>
      <c r="G547" s="65" t="n"/>
    </row>
    <row r="548">
      <c r="A548" s="42" t="n"/>
      <c r="B548" s="62" t="n"/>
      <c r="C548" s="9" t="n"/>
      <c r="D548" s="9" t="n"/>
      <c r="E548" s="37" t="n"/>
      <c r="F548" s="48" t="n"/>
      <c r="G548" s="65" t="n"/>
    </row>
    <row r="549">
      <c r="A549" s="42" t="n"/>
      <c r="B549" s="62" t="n"/>
      <c r="C549" s="9" t="n"/>
      <c r="D549" s="9" t="n"/>
      <c r="E549" s="37" t="n"/>
      <c r="F549" s="48" t="n"/>
      <c r="G549" s="65" t="n"/>
    </row>
    <row r="550">
      <c r="A550" s="42" t="n"/>
      <c r="B550" s="62" t="n"/>
      <c r="C550" s="9" t="n"/>
      <c r="D550" s="9" t="n"/>
      <c r="E550" s="37" t="n"/>
      <c r="F550" s="48" t="n"/>
      <c r="G550" s="65" t="n"/>
    </row>
    <row r="551">
      <c r="A551" s="42" t="n"/>
      <c r="B551" s="62" t="n"/>
      <c r="C551" s="9" t="n"/>
      <c r="D551" s="9" t="n"/>
      <c r="E551" s="37" t="n"/>
      <c r="F551" s="48" t="n"/>
      <c r="G551" s="65" t="n"/>
    </row>
    <row r="552">
      <c r="A552" s="42" t="n"/>
      <c r="B552" s="62" t="n"/>
      <c r="C552" s="9" t="n"/>
      <c r="D552" s="9" t="n"/>
      <c r="E552" s="37" t="n"/>
      <c r="F552" s="48" t="n"/>
      <c r="G552" s="65" t="n"/>
    </row>
    <row r="553">
      <c r="A553" s="42" t="n"/>
      <c r="B553" s="62" t="n"/>
      <c r="C553" s="9" t="n"/>
      <c r="D553" s="9" t="n"/>
      <c r="E553" s="37" t="n"/>
      <c r="F553" s="48" t="n"/>
      <c r="G553" s="65" t="n"/>
    </row>
    <row r="554">
      <c r="A554" s="42" t="n"/>
      <c r="B554" s="62" t="n"/>
      <c r="C554" s="9" t="n"/>
      <c r="D554" s="9" t="n"/>
      <c r="E554" s="37" t="n"/>
      <c r="F554" s="48" t="n"/>
      <c r="G554" s="65" t="n"/>
    </row>
    <row r="555">
      <c r="A555" s="42" t="n"/>
      <c r="B555" s="62" t="n"/>
      <c r="C555" s="9" t="n"/>
      <c r="D555" s="9" t="n"/>
      <c r="E555" s="37" t="n"/>
      <c r="F555" s="48" t="n"/>
      <c r="G555" s="65" t="n"/>
    </row>
    <row r="556">
      <c r="A556" s="42" t="n"/>
      <c r="B556" s="62" t="n"/>
      <c r="C556" s="9" t="n"/>
      <c r="D556" s="9" t="n"/>
      <c r="E556" s="37" t="n"/>
      <c r="F556" s="48" t="n"/>
      <c r="G556" s="65" t="n"/>
    </row>
    <row r="557">
      <c r="A557" s="42" t="n"/>
      <c r="B557" s="62" t="n"/>
      <c r="C557" s="9" t="n"/>
      <c r="D557" s="9" t="n"/>
      <c r="E557" s="37" t="n"/>
      <c r="F557" s="48" t="n"/>
      <c r="G557" s="65" t="n"/>
    </row>
    <row r="558">
      <c r="A558" s="42" t="n"/>
      <c r="B558" s="62" t="n"/>
      <c r="C558" s="9" t="n"/>
      <c r="D558" s="9" t="n"/>
      <c r="E558" s="37" t="n"/>
      <c r="F558" s="48" t="n"/>
      <c r="G558" s="65" t="n"/>
    </row>
    <row r="559">
      <c r="A559" s="42" t="n"/>
      <c r="B559" s="62" t="n"/>
      <c r="C559" s="9" t="n"/>
      <c r="D559" s="9" t="n"/>
      <c r="E559" s="37" t="n"/>
      <c r="F559" s="48" t="n"/>
      <c r="G559" s="65" t="n"/>
    </row>
    <row r="560">
      <c r="A560" s="42" t="n"/>
      <c r="B560" s="62" t="n"/>
      <c r="C560" s="9" t="n"/>
      <c r="D560" s="9" t="n"/>
      <c r="E560" s="37" t="n"/>
      <c r="F560" s="48" t="n"/>
      <c r="G560" s="65" t="n"/>
    </row>
    <row r="561">
      <c r="A561" s="42" t="n"/>
      <c r="B561" s="62" t="n"/>
      <c r="C561" s="9" t="n"/>
      <c r="D561" s="9" t="n"/>
      <c r="E561" s="37" t="n"/>
      <c r="F561" s="48" t="n"/>
      <c r="G561" s="65" t="n"/>
    </row>
    <row r="562">
      <c r="A562" s="42" t="n"/>
      <c r="B562" s="62" t="n"/>
      <c r="C562" s="9" t="n"/>
      <c r="D562" s="9" t="n"/>
      <c r="E562" s="37" t="n"/>
      <c r="F562" s="48" t="n"/>
      <c r="G562" s="65" t="n"/>
    </row>
    <row r="563">
      <c r="A563" s="42" t="n"/>
      <c r="B563" s="62" t="n"/>
      <c r="C563" s="9" t="n"/>
      <c r="D563" s="9" t="n"/>
      <c r="E563" s="37" t="n"/>
      <c r="F563" s="48" t="n"/>
      <c r="G563" s="65" t="n"/>
    </row>
    <row r="564">
      <c r="A564" s="42" t="n"/>
      <c r="B564" s="62" t="n"/>
      <c r="C564" s="9" t="n"/>
      <c r="D564" s="9" t="n"/>
      <c r="E564" s="37" t="n"/>
      <c r="F564" s="48" t="n"/>
      <c r="G564" s="65" t="n"/>
    </row>
    <row r="565">
      <c r="A565" s="42" t="n"/>
      <c r="B565" s="62" t="n"/>
      <c r="C565" s="9" t="n"/>
      <c r="D565" s="9" t="n"/>
      <c r="E565" s="37" t="n"/>
      <c r="F565" s="48" t="n"/>
      <c r="G565" s="65" t="n"/>
    </row>
    <row r="566">
      <c r="A566" s="42" t="n"/>
      <c r="B566" s="62" t="n"/>
      <c r="C566" s="9" t="n"/>
      <c r="D566" s="9" t="n"/>
      <c r="E566" s="37" t="n"/>
      <c r="F566" s="48" t="n"/>
      <c r="G566" s="65" t="n"/>
    </row>
    <row r="567">
      <c r="A567" s="42" t="n"/>
      <c r="B567" s="62" t="n"/>
      <c r="C567" s="9" t="n"/>
      <c r="D567" s="9" t="n"/>
      <c r="E567" s="37" t="n"/>
      <c r="F567" s="48" t="n"/>
      <c r="G567" s="65" t="n"/>
    </row>
    <row r="568">
      <c r="A568" s="42" t="n"/>
      <c r="B568" s="62" t="n"/>
      <c r="C568" s="9" t="n"/>
      <c r="D568" s="9" t="n"/>
      <c r="E568" s="37" t="n"/>
      <c r="F568" s="48" t="n"/>
      <c r="G568" s="65" t="n"/>
    </row>
    <row r="569">
      <c r="A569" s="42" t="n"/>
      <c r="B569" s="62" t="n"/>
      <c r="C569" s="9" t="n"/>
      <c r="D569" s="9" t="n"/>
      <c r="E569" s="37" t="n"/>
      <c r="F569" s="48" t="n"/>
      <c r="G569" s="65" t="n"/>
    </row>
    <row r="570">
      <c r="A570" s="42" t="n"/>
      <c r="B570" s="62" t="n"/>
      <c r="C570" s="9" t="n"/>
      <c r="D570" s="9" t="n"/>
      <c r="E570" s="37" t="n"/>
      <c r="F570" s="48" t="n"/>
      <c r="G570" s="65" t="n"/>
    </row>
    <row r="571">
      <c r="A571" s="42" t="n"/>
      <c r="B571" s="62" t="n"/>
      <c r="C571" s="9" t="n"/>
      <c r="D571" s="9" t="n"/>
      <c r="E571" s="37" t="n"/>
      <c r="F571" s="48" t="n"/>
      <c r="G571" s="65" t="n"/>
    </row>
    <row r="572">
      <c r="A572" s="42" t="n"/>
      <c r="B572" s="62" t="n"/>
      <c r="C572" s="9" t="n"/>
      <c r="D572" s="9" t="n"/>
      <c r="E572" s="37" t="n"/>
      <c r="F572" s="48" t="n"/>
      <c r="G572" s="65" t="n"/>
    </row>
    <row r="573">
      <c r="A573" s="42" t="n"/>
      <c r="B573" s="62" t="n"/>
      <c r="C573" s="9" t="n"/>
      <c r="D573" s="9" t="n"/>
      <c r="E573" s="37" t="n"/>
      <c r="F573" s="48" t="n"/>
      <c r="G573" s="65" t="n"/>
    </row>
    <row r="574">
      <c r="A574" s="42" t="n"/>
      <c r="B574" s="62" t="n"/>
      <c r="C574" s="9" t="n"/>
      <c r="D574" s="9" t="n"/>
      <c r="E574" s="37" t="n"/>
      <c r="F574" s="48" t="n"/>
      <c r="G574" s="65" t="n"/>
    </row>
    <row r="575">
      <c r="A575" s="42" t="n"/>
      <c r="B575" s="62" t="n"/>
      <c r="C575" s="9" t="n"/>
      <c r="D575" s="9" t="n"/>
      <c r="E575" s="37" t="n"/>
      <c r="F575" s="48" t="n"/>
      <c r="G575" s="65" t="n"/>
    </row>
    <row r="576">
      <c r="A576" s="42" t="n"/>
      <c r="B576" s="62" t="n"/>
      <c r="C576" s="9" t="n"/>
      <c r="D576" s="9" t="n"/>
      <c r="E576" s="37" t="n"/>
      <c r="F576" s="48" t="n"/>
      <c r="G576" s="65" t="n"/>
    </row>
    <row r="577">
      <c r="A577" s="42" t="n"/>
      <c r="B577" s="62" t="n"/>
      <c r="C577" s="9" t="n"/>
      <c r="D577" s="9" t="n"/>
      <c r="E577" s="37" t="n"/>
      <c r="F577" s="48" t="n"/>
      <c r="G577" s="65" t="n"/>
    </row>
    <row r="578">
      <c r="A578" s="42" t="n"/>
      <c r="B578" s="62" t="n"/>
      <c r="C578" s="9" t="n"/>
      <c r="D578" s="9" t="n"/>
      <c r="E578" s="37" t="n"/>
      <c r="F578" s="48" t="n"/>
      <c r="G578" s="65" t="n"/>
    </row>
    <row r="579">
      <c r="A579" s="42" t="n"/>
      <c r="B579" s="62" t="n"/>
      <c r="C579" s="9" t="n"/>
      <c r="D579" s="9" t="n"/>
      <c r="E579" s="37" t="n"/>
      <c r="F579" s="48" t="n"/>
      <c r="G579" s="65" t="n"/>
    </row>
    <row r="580">
      <c r="A580" s="42" t="n"/>
      <c r="B580" s="62" t="n"/>
      <c r="C580" s="9" t="n"/>
      <c r="D580" s="9" t="n"/>
      <c r="E580" s="37" t="n"/>
      <c r="F580" s="48" t="n"/>
      <c r="G580" s="65" t="n"/>
    </row>
    <row r="581">
      <c r="A581" s="42" t="n"/>
      <c r="B581" s="62" t="n"/>
      <c r="C581" s="9" t="n"/>
      <c r="D581" s="9" t="n"/>
      <c r="E581" s="37" t="n"/>
      <c r="F581" s="48" t="n"/>
      <c r="G581" s="65" t="n"/>
    </row>
    <row r="582">
      <c r="A582" s="42" t="n"/>
      <c r="B582" s="62" t="n"/>
      <c r="C582" s="9" t="n"/>
      <c r="D582" s="9" t="n"/>
      <c r="E582" s="37" t="n"/>
      <c r="F582" s="48" t="n"/>
      <c r="G582" s="65" t="n"/>
    </row>
    <row r="583">
      <c r="A583" s="42" t="n"/>
      <c r="B583" s="62" t="n"/>
      <c r="C583" s="9" t="n"/>
      <c r="D583" s="9" t="n"/>
      <c r="E583" s="37" t="n"/>
      <c r="F583" s="48" t="n"/>
      <c r="G583" s="65" t="n"/>
    </row>
    <row r="584">
      <c r="A584" s="42" t="n"/>
      <c r="B584" s="62" t="n"/>
      <c r="C584" s="9" t="n"/>
      <c r="D584" s="9" t="n"/>
      <c r="E584" s="37" t="n"/>
      <c r="F584" s="48" t="n"/>
      <c r="G584" s="65" t="n"/>
    </row>
    <row r="585">
      <c r="A585" s="42" t="n"/>
      <c r="B585" s="62" t="n"/>
      <c r="C585" s="9" t="n"/>
      <c r="D585" s="9" t="n"/>
      <c r="E585" s="37" t="n"/>
      <c r="F585" s="48" t="n"/>
      <c r="G585" s="65" t="n"/>
    </row>
    <row r="586">
      <c r="A586" s="42" t="n"/>
      <c r="B586" s="62" t="n"/>
      <c r="C586" s="9" t="n"/>
      <c r="D586" s="9" t="n"/>
      <c r="E586" s="37" t="n"/>
      <c r="F586" s="48" t="n"/>
      <c r="G586" s="65" t="n"/>
    </row>
    <row r="587">
      <c r="A587" s="42" t="n"/>
      <c r="B587" s="62" t="n"/>
      <c r="C587" s="9" t="n"/>
      <c r="D587" s="9" t="n"/>
      <c r="E587" s="37" t="n"/>
      <c r="F587" s="48" t="n"/>
      <c r="G587" s="65" t="n"/>
    </row>
    <row r="588">
      <c r="A588" s="42" t="n"/>
      <c r="B588" s="62" t="n"/>
      <c r="C588" s="9" t="n"/>
      <c r="D588" s="9" t="n"/>
      <c r="E588" s="37" t="n"/>
      <c r="F588" s="48" t="n"/>
      <c r="G588" s="65" t="n"/>
    </row>
    <row r="589">
      <c r="A589" s="42" t="n"/>
      <c r="B589" s="62" t="n"/>
      <c r="C589" s="9" t="n"/>
      <c r="D589" s="9" t="n"/>
      <c r="E589" s="37" t="n"/>
      <c r="F589" s="48" t="n"/>
      <c r="G589" s="65" t="n"/>
    </row>
    <row r="590">
      <c r="A590" s="42" t="n"/>
      <c r="B590" s="62" t="n"/>
      <c r="C590" s="9" t="n"/>
      <c r="D590" s="9" t="n"/>
      <c r="E590" s="37" t="n"/>
      <c r="F590" s="48" t="n"/>
      <c r="G590" s="65" t="n"/>
    </row>
    <row r="591">
      <c r="A591" s="42" t="n"/>
      <c r="B591" s="62" t="n"/>
      <c r="C591" s="9" t="n"/>
      <c r="D591" s="9" t="n"/>
      <c r="E591" s="37" t="n"/>
      <c r="F591" s="48" t="n"/>
      <c r="G591" s="65" t="n"/>
    </row>
    <row r="592">
      <c r="A592" s="42" t="n"/>
      <c r="B592" s="62" t="n"/>
      <c r="C592" s="9" t="n"/>
      <c r="D592" s="9" t="n"/>
      <c r="E592" s="37" t="n"/>
      <c r="F592" s="48" t="n"/>
      <c r="G592" s="65" t="n"/>
    </row>
    <row r="593">
      <c r="A593" s="42" t="n"/>
      <c r="B593" s="62" t="n"/>
      <c r="C593" s="9" t="n"/>
      <c r="D593" s="9" t="n"/>
      <c r="E593" s="37" t="n"/>
      <c r="F593" s="48" t="n"/>
      <c r="G593" s="65" t="n"/>
    </row>
    <row r="594">
      <c r="A594" s="42" t="n"/>
      <c r="B594" s="62" t="n"/>
      <c r="C594" s="9" t="n"/>
      <c r="D594" s="9" t="n"/>
      <c r="E594" s="37" t="n"/>
      <c r="F594" s="48" t="n"/>
      <c r="G594" s="65" t="n"/>
    </row>
    <row r="595">
      <c r="A595" s="42" t="n"/>
      <c r="B595" s="62" t="n"/>
      <c r="C595" s="9" t="n"/>
      <c r="D595" s="9" t="n"/>
      <c r="E595" s="37" t="n"/>
      <c r="F595" s="48" t="n"/>
      <c r="G595" s="65" t="n"/>
    </row>
    <row r="596">
      <c r="A596" s="42" t="n"/>
      <c r="B596" s="62" t="n"/>
      <c r="C596" s="9" t="n"/>
      <c r="D596" s="9" t="n"/>
      <c r="E596" s="37" t="n"/>
      <c r="F596" s="48" t="n"/>
      <c r="G596" s="65" t="n"/>
    </row>
    <row r="597">
      <c r="A597" s="42" t="n"/>
      <c r="B597" s="62" t="n"/>
      <c r="C597" s="9" t="n"/>
      <c r="D597" s="9" t="n"/>
      <c r="E597" s="37" t="n"/>
      <c r="F597" s="48" t="n"/>
      <c r="G597" s="65" t="n"/>
    </row>
    <row r="598">
      <c r="A598" s="42" t="n"/>
      <c r="B598" s="62" t="n"/>
      <c r="C598" s="9" t="n"/>
      <c r="D598" s="9" t="n"/>
      <c r="E598" s="37" t="n"/>
      <c r="F598" s="48" t="n"/>
      <c r="G598" s="65" t="n"/>
    </row>
    <row r="599">
      <c r="A599" s="42" t="n"/>
      <c r="B599" s="62" t="n"/>
      <c r="C599" s="9" t="n"/>
      <c r="D599" s="9" t="n"/>
      <c r="E599" s="37" t="n"/>
      <c r="F599" s="48" t="n"/>
      <c r="G599" s="65" t="n"/>
    </row>
    <row r="600">
      <c r="A600" s="42" t="n"/>
      <c r="B600" s="62" t="n"/>
      <c r="C600" s="9" t="n"/>
      <c r="D600" s="9" t="n"/>
      <c r="E600" s="37" t="n"/>
      <c r="F600" s="48" t="n"/>
      <c r="G600" s="65" t="n"/>
    </row>
    <row r="601">
      <c r="A601" s="42" t="n"/>
      <c r="B601" s="62" t="n"/>
      <c r="C601" s="9" t="n"/>
      <c r="D601" s="9" t="n"/>
      <c r="E601" s="37" t="n"/>
      <c r="F601" s="48" t="n"/>
      <c r="G601" s="65" t="n"/>
    </row>
  </sheetData>
  <autoFilter ref="A1:H401"/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51"/>
  <sheetViews>
    <sheetView topLeftCell="N1" zoomScale="90" zoomScaleNormal="90" workbookViewId="0">
      <selection activeCell="A2" sqref="A2:AI25"/>
    </sheetView>
  </sheetViews>
  <sheetFormatPr baseColWidth="8" defaultColWidth="9.15234375" defaultRowHeight="14.6"/>
  <cols>
    <col width="13.84375" bestFit="1" customWidth="1" style="17" min="1" max="1"/>
    <col width="18.15234375" customWidth="1" style="17" min="2" max="2"/>
    <col width="9.84375" customWidth="1" style="17" min="3" max="3"/>
    <col width="9.53515625" customWidth="1" style="17" min="4" max="4"/>
    <col width="10.15234375" customWidth="1" style="17" min="5" max="5"/>
    <col width="15.53515625" customWidth="1" style="17" min="6" max="6"/>
    <col width="6.3828125" customWidth="1" style="17" min="7" max="7"/>
    <col width="8.15234375" customWidth="1" style="17" min="8" max="8"/>
    <col width="67" bestFit="1" customWidth="1" style="17" min="9" max="9"/>
    <col width="25.84375" customWidth="1" style="17" min="10" max="10"/>
    <col width="10.84375" bestFit="1" customWidth="1" style="17" min="11" max="11"/>
    <col width="23.15234375" bestFit="1" customWidth="1" style="17" min="12" max="12"/>
    <col width="47.84375" bestFit="1" customWidth="1" style="17" min="13" max="13"/>
    <col width="9" customWidth="1" style="17" min="14" max="14"/>
    <col width="8.15234375" customWidth="1" style="17" min="15" max="15"/>
    <col width="9.15234375" customWidth="1" style="17" min="16" max="16"/>
    <col width="17.15234375" customWidth="1" style="20" min="17" max="17"/>
    <col width="24.15234375" customWidth="1" style="1" min="18" max="18"/>
    <col width="9.15234375" customWidth="1" style="17" min="19" max="22"/>
    <col width="18.15234375" customWidth="1" style="17" min="23" max="23"/>
    <col width="10.53515625" customWidth="1" style="17" min="24" max="24"/>
    <col width="9.15234375" customWidth="1" style="17" min="25" max="25"/>
    <col width="7.84375" customWidth="1" style="17" min="26" max="27"/>
    <col width="10" customWidth="1" style="17" min="28" max="28"/>
    <col width="9.15234375" customWidth="1" style="17" min="29" max="29"/>
    <col width="8.53515625" customWidth="1" style="17" min="30" max="30"/>
    <col width="8.15234375" customWidth="1" style="20" min="31" max="31"/>
    <col width="11.3828125" customWidth="1" style="39" min="32" max="33"/>
    <col width="18.15234375" customWidth="1" style="39" min="34" max="34"/>
    <col width="9.3828125" customWidth="1" style="39" min="35" max="35"/>
    <col width="6.3828125" customWidth="1" style="26" min="36" max="36"/>
    <col width="6.53515625" customWidth="1" style="26" min="37" max="37"/>
    <col width="6.84375" customWidth="1" style="26" min="38" max="38"/>
    <col width="6.3828125" customWidth="1" style="26" min="39" max="39"/>
    <col width="19.15234375" bestFit="1" customWidth="1" style="19" min="40" max="40"/>
    <col width="9.15234375" customWidth="1" style="19" min="41" max="16384"/>
  </cols>
  <sheetData>
    <row r="1" ht="99.75" customFormat="1" customHeight="1" s="23">
      <c r="A1" s="3" t="inlineStr">
        <is>
          <t>REQUESTOR'S NAME</t>
        </is>
      </c>
      <c r="B1" s="32" t="inlineStr">
        <is>
          <t>Segment Data</t>
        </is>
      </c>
      <c r="C1" s="35" t="inlineStr">
        <is>
          <t>BASE UNIT OF MEASURE</t>
        </is>
      </c>
      <c r="D1" s="3" t="inlineStr">
        <is>
          <t>MATERIAL TYPE</t>
        </is>
      </c>
      <c r="E1" s="3" t="inlineStr">
        <is>
          <t>ITEM CATEGORY GROUP (General and Item)</t>
        </is>
      </c>
      <c r="F1" s="14" t="inlineStr">
        <is>
          <t xml:space="preserve">MANUFACTURER </t>
        </is>
      </c>
      <c r="G1" s="3" t="inlineStr">
        <is>
          <t>COUNTRY OF ORIGIN</t>
        </is>
      </c>
      <c r="H1" s="3" t="inlineStr">
        <is>
          <t>REGION OF ORIGIN</t>
        </is>
      </c>
      <c r="I1" s="11" t="inlineStr">
        <is>
          <t>Plant with purchasing, foreign trade, MRP1 and accounting views only</t>
        </is>
      </c>
      <c r="J1" s="11" t="inlineStr">
        <is>
          <t>Sales Organisations</t>
        </is>
      </c>
      <c r="K1" s="3" t="inlineStr">
        <is>
          <t>Create / Change Local Office Plant Views</t>
        </is>
      </c>
      <c r="L1" s="21" t="inlineStr">
        <is>
          <t>MATERIAL NUMBER TO BE CREATED- maximum length is 18</t>
        </is>
      </c>
      <c r="M1" s="21" t="inlineStr">
        <is>
          <t>MATERIAL DESCRIPTION - UPPER CASE and  MAXIMUM 40 CHARACTERS</t>
        </is>
      </c>
      <c r="N1" s="3" t="inlineStr">
        <is>
          <t>PURCHASING GROUP</t>
        </is>
      </c>
      <c r="O1" s="3" t="inlineStr">
        <is>
          <t>MRP TYPE</t>
        </is>
      </c>
      <c r="P1" s="14" t="inlineStr">
        <is>
          <t>DIVISION</t>
        </is>
      </c>
      <c r="Q1" s="27" t="inlineStr">
        <is>
          <t>MATERIAL GROUP</t>
        </is>
      </c>
      <c r="R1" s="14" t="inlineStr">
        <is>
          <t>PRODUCT HIERARCHY</t>
        </is>
      </c>
      <c r="S1" s="3" t="inlineStr">
        <is>
          <t>GROSS WEIGHT-TO 3 DECIMAL PLACES</t>
        </is>
      </c>
      <c r="T1" s="3" t="inlineStr">
        <is>
          <t>NET WEIGHT-TO 3 DECIMAL PLACES</t>
        </is>
      </c>
      <c r="U1" s="3" t="inlineStr">
        <is>
          <t>VOLUME-TO 3 DECIMAL PLACES</t>
        </is>
      </c>
      <c r="V1" s="3" t="inlineStr">
        <is>
          <t>SIZE/DIMENSIONS-for single packed unit</t>
        </is>
      </c>
      <c r="W1" s="3" t="inlineStr">
        <is>
          <t>INDUSTRY STD DESCRIPTION</t>
        </is>
      </c>
      <c r="X1" s="11" t="inlineStr">
        <is>
          <t>MATERIAL PRICING GROUP</t>
        </is>
      </c>
      <c r="Y1" s="11" t="inlineStr">
        <is>
          <t xml:space="preserve">VOLUME REBATE GROUP </t>
        </is>
      </c>
      <c r="Z1" s="3" t="inlineStr">
        <is>
          <t>DELIVERING PLANT</t>
        </is>
      </c>
      <c r="AA1" s="3" t="inlineStr">
        <is>
          <t>SERIAL NUMBERS</t>
        </is>
      </c>
      <c r="AB1" s="3" t="inlineStr">
        <is>
          <t>MINIMUM ORDER QUANTITY</t>
        </is>
      </c>
      <c r="AC1" s="3" t="inlineStr">
        <is>
          <t>MINIMUM DELIVERY QUANTITY</t>
        </is>
      </c>
      <c r="AD1" s="3" t="inlineStr">
        <is>
          <t>DELIVERY UNIT</t>
        </is>
      </c>
      <c r="AE1" s="3" t="inlineStr">
        <is>
          <t>COMMODITY CODE</t>
        </is>
      </c>
      <c r="AF1" s="18" t="inlineStr">
        <is>
          <t>BUK STANDARD COST PRICE IN £-TO 2 DECIMAL PLACES</t>
        </is>
      </c>
      <c r="AG1" s="18" t="inlineStr">
        <is>
          <t>LOCAL OFFICE STANDARD COST PRICE IN Euro -TO 2 DECIMAL PLACES</t>
        </is>
      </c>
      <c r="AH1" s="25" t="inlineStr">
        <is>
          <t>LOCAL OFFICE STANDARD COST PRICE IN other currency -TO 2 DECIMAL PLACES</t>
        </is>
      </c>
      <c r="AI1" s="40" t="inlineStr">
        <is>
          <t>Other currency</t>
        </is>
      </c>
      <c r="AJ1" s="10" t="inlineStr">
        <is>
          <t>For internal use only</t>
        </is>
      </c>
      <c r="AK1" s="10" t="inlineStr">
        <is>
          <t>For internal use only</t>
        </is>
      </c>
      <c r="AL1" s="10" t="inlineStr">
        <is>
          <t>For internal use only</t>
        </is>
      </c>
      <c r="AM1" s="10" t="inlineStr">
        <is>
          <t>For internal use only</t>
        </is>
      </c>
    </row>
    <row r="2" ht="15.9" customFormat="1" customHeight="1" s="23">
      <c r="A2" t="inlineStr">
        <is>
          <t>Ian Thomasson</t>
        </is>
      </c>
      <c r="B2" t="inlineStr">
        <is>
          <t>SD 1</t>
        </is>
      </c>
      <c r="C2" t="inlineStr">
        <is>
          <t>COP</t>
        </is>
      </c>
      <c r="D2" t="inlineStr">
        <is>
          <t>ZBR3</t>
        </is>
      </c>
      <c r="E2" t="inlineStr">
        <is>
          <t>LEIS</t>
        </is>
      </c>
      <c r="F2" t="inlineStr">
        <is>
          <t>ZZE0</t>
        </is>
      </c>
      <c r="I2" s="43" t="inlineStr">
        <is>
          <t>E01,D2*,D81,E2*,E31,E51,E6*,E73,E81,E9*,F01,F1*,G1*,H41,I21,I31,I41</t>
        </is>
      </c>
      <c r="K2" t="inlineStr">
        <is>
          <t>CREATE</t>
        </is>
      </c>
      <c r="L2" s="47" t="inlineStr">
        <is>
          <t>MAT 1</t>
        </is>
      </c>
      <c r="M2" s="16" t="inlineStr">
        <is>
          <t>DES 1</t>
        </is>
      </c>
      <c r="P2" s="45" t="n">
        <v>50</v>
      </c>
      <c r="Q2" s="46" t="inlineStr">
        <is>
          <t>MG 1</t>
        </is>
      </c>
      <c r="R2" s="46" t="inlineStr">
        <is>
          <t>PH 1</t>
        </is>
      </c>
      <c r="S2" s="41" t="inlineStr">
        <is>
          <t> </t>
        </is>
      </c>
      <c r="T2" s="41" t="inlineStr">
        <is>
          <t> </t>
        </is>
      </c>
      <c r="U2" s="41" t="inlineStr">
        <is>
          <t> </t>
        </is>
      </c>
      <c r="V2" s="41" t="inlineStr">
        <is>
          <t> </t>
        </is>
      </c>
      <c r="W2" s="47">
        <f>L2</f>
        <v/>
      </c>
      <c r="X2" s="45" t="inlineStr">
        <is>
          <t>MGP 1</t>
        </is>
      </c>
      <c r="Y2" s="45" t="n">
        <v>1</v>
      </c>
      <c r="Z2" s="41" t="inlineStr">
        <is>
          <t> </t>
        </is>
      </c>
      <c r="AA2" t="inlineStr">
        <is>
          <t> </t>
        </is>
      </c>
      <c r="AB2" s="45" t="n">
        <v>1</v>
      </c>
      <c r="AC2" s="45" t="n">
        <v>1</v>
      </c>
      <c r="AD2" s="45" t="n">
        <v>1</v>
      </c>
      <c r="AE2" t="inlineStr">
        <is>
          <t> </t>
        </is>
      </c>
      <c r="AF2" t="inlineStr">
        <is>
          <t> </t>
        </is>
      </c>
      <c r="AG2" s="36" t="inlineStr">
        <is>
          <t> </t>
        </is>
      </c>
      <c r="AH2" t="inlineStr">
        <is>
          <t> </t>
        </is>
      </c>
      <c r="AI2" t="inlineStr">
        <is>
          <t> </t>
        </is>
      </c>
      <c r="AJ2" s="12" t="n">
        <v>11</v>
      </c>
      <c r="AK2" s="29" t="inlineStr"/>
      <c r="AL2" s="12" t="n">
        <v>2</v>
      </c>
      <c r="AM2" s="12" t="inlineStr">
        <is>
          <t>ZBR3</t>
        </is>
      </c>
      <c r="AN2" s="6" t="inlineStr">
        <is>
          <t>LEIS</t>
        </is>
      </c>
      <c r="AO2" s="7" t="n"/>
      <c r="AP2" s="7" t="n"/>
    </row>
    <row r="3" ht="15.9" customFormat="1" customHeight="1" s="23">
      <c r="A3" t="inlineStr">
        <is>
          <t>Ian Thomasson</t>
        </is>
      </c>
      <c r="B3" t="inlineStr">
        <is>
          <t>SD 2</t>
        </is>
      </c>
      <c r="C3" t="inlineStr">
        <is>
          <t>COP</t>
        </is>
      </c>
      <c r="D3" t="inlineStr">
        <is>
          <t>ZBR3</t>
        </is>
      </c>
      <c r="E3" t="inlineStr">
        <is>
          <t>LEIS</t>
        </is>
      </c>
      <c r="F3" t="inlineStr">
        <is>
          <t>ZZE0</t>
        </is>
      </c>
      <c r="I3" s="43" t="inlineStr">
        <is>
          <t>E01,D2*,D81,E2*,E31,E51,E6*,E73,E81,E9*,F01,F1*,G1*,H41,I21,I31,I41</t>
        </is>
      </c>
      <c r="K3" t="inlineStr">
        <is>
          <t>CREATE</t>
        </is>
      </c>
      <c r="L3" s="47" t="inlineStr">
        <is>
          <t>MAT 2</t>
        </is>
      </c>
      <c r="M3" s="16" t="inlineStr">
        <is>
          <t>DES 2</t>
        </is>
      </c>
      <c r="P3" s="45" t="n">
        <v>50</v>
      </c>
      <c r="Q3" s="46" t="inlineStr">
        <is>
          <t>MG 2</t>
        </is>
      </c>
      <c r="R3" s="46" t="inlineStr">
        <is>
          <t>PH 2</t>
        </is>
      </c>
      <c r="S3" t="inlineStr">
        <is>
          <t> </t>
        </is>
      </c>
      <c r="T3" t="inlineStr">
        <is>
          <t> </t>
        </is>
      </c>
      <c r="U3" t="inlineStr">
        <is>
          <t> </t>
        </is>
      </c>
      <c r="V3" t="inlineStr">
        <is>
          <t> </t>
        </is>
      </c>
      <c r="W3" s="47">
        <f>L3</f>
        <v/>
      </c>
      <c r="X3" s="45" t="inlineStr">
        <is>
          <t>MGP 2</t>
        </is>
      </c>
      <c r="Y3" s="45" t="n">
        <v>2</v>
      </c>
      <c r="Z3" t="inlineStr">
        <is>
          <t> </t>
        </is>
      </c>
      <c r="AA3" t="inlineStr">
        <is>
          <t> </t>
        </is>
      </c>
      <c r="AB3" s="45" t="n">
        <v>1</v>
      </c>
      <c r="AC3" s="45" t="n">
        <v>1</v>
      </c>
      <c r="AD3" s="45" t="n">
        <v>1</v>
      </c>
      <c r="AE3" t="inlineStr">
        <is>
          <t> </t>
        </is>
      </c>
      <c r="AF3" t="inlineStr">
        <is>
          <t> </t>
        </is>
      </c>
      <c r="AG3" s="36" t="inlineStr">
        <is>
          <t> </t>
        </is>
      </c>
      <c r="AH3" t="inlineStr">
        <is>
          <t> </t>
        </is>
      </c>
      <c r="AI3" t="inlineStr">
        <is>
          <t> </t>
        </is>
      </c>
      <c r="AJ3" s="12" t="n">
        <v>11</v>
      </c>
      <c r="AK3" s="29" t="inlineStr">
        <is>
          <t>U</t>
        </is>
      </c>
      <c r="AL3" s="12" t="n">
        <v>40</v>
      </c>
      <c r="AM3" s="12" t="inlineStr">
        <is>
          <t>ZBR3</t>
        </is>
      </c>
      <c r="AN3" s="7" t="inlineStr">
        <is>
          <t>LEIS</t>
        </is>
      </c>
      <c r="AO3" s="7" t="n"/>
      <c r="AP3" s="7" t="n"/>
    </row>
    <row r="4" ht="15.9" customFormat="1" customHeight="1" s="23">
      <c r="A4" t="inlineStr">
        <is>
          <t>Ian Thomasson</t>
        </is>
      </c>
      <c r="B4" t="inlineStr">
        <is>
          <t>SD 3</t>
        </is>
      </c>
      <c r="C4" t="inlineStr">
        <is>
          <t>COP</t>
        </is>
      </c>
      <c r="D4" t="inlineStr">
        <is>
          <t>ZBR3</t>
        </is>
      </c>
      <c r="E4" t="inlineStr">
        <is>
          <t>LEIS</t>
        </is>
      </c>
      <c r="F4" t="inlineStr">
        <is>
          <t>ZZE0</t>
        </is>
      </c>
      <c r="I4" t="inlineStr">
        <is>
          <t>E01,D2*,D81,E2*,E31,E51,E6*,E73,E81,E9*,F01,F1*,G1*,H41,I21,I31,I41</t>
        </is>
      </c>
      <c r="K4" t="inlineStr">
        <is>
          <t>CREATE</t>
        </is>
      </c>
      <c r="L4" s="47" t="inlineStr">
        <is>
          <t>MAT 3</t>
        </is>
      </c>
      <c r="M4" s="16" t="inlineStr">
        <is>
          <t>DES 3</t>
        </is>
      </c>
      <c r="P4" s="45" t="n">
        <v>50</v>
      </c>
      <c r="Q4" s="46" t="inlineStr">
        <is>
          <t>MG 3</t>
        </is>
      </c>
      <c r="R4" s="46" t="inlineStr">
        <is>
          <t>PH 3</t>
        </is>
      </c>
      <c r="S4" t="inlineStr">
        <is>
          <t> </t>
        </is>
      </c>
      <c r="T4" t="inlineStr">
        <is>
          <t> </t>
        </is>
      </c>
      <c r="W4" s="47">
        <f>L4</f>
        <v/>
      </c>
      <c r="X4" s="45" t="inlineStr">
        <is>
          <t>MGP 3</t>
        </is>
      </c>
      <c r="Y4" s="45" t="n">
        <v>3</v>
      </c>
      <c r="Z4" t="inlineStr">
        <is>
          <t> </t>
        </is>
      </c>
      <c r="AA4" t="inlineStr">
        <is>
          <t> </t>
        </is>
      </c>
      <c r="AB4" s="45" t="n">
        <v>1</v>
      </c>
      <c r="AC4" s="45" t="n">
        <v>1</v>
      </c>
      <c r="AD4" s="45" t="n">
        <v>1</v>
      </c>
      <c r="AE4" t="inlineStr">
        <is>
          <t> </t>
        </is>
      </c>
      <c r="AF4" t="inlineStr">
        <is>
          <t> </t>
        </is>
      </c>
      <c r="AG4" s="36" t="inlineStr">
        <is>
          <t> </t>
        </is>
      </c>
      <c r="AH4" t="inlineStr">
        <is>
          <t> </t>
        </is>
      </c>
      <c r="AI4" t="inlineStr">
        <is>
          <t> </t>
        </is>
      </c>
      <c r="AJ4" s="12" t="n">
        <v>11</v>
      </c>
      <c r="AK4" s="29" t="inlineStr"/>
      <c r="AL4" s="12" t="n">
        <v>2</v>
      </c>
      <c r="AM4" s="12" t="inlineStr">
        <is>
          <t>ZBR3</t>
        </is>
      </c>
      <c r="AN4" s="7" t="inlineStr">
        <is>
          <t>LEIS</t>
        </is>
      </c>
      <c r="AO4" s="7" t="n"/>
      <c r="AP4" s="7" t="n"/>
    </row>
    <row r="5" ht="15.9" customHeight="1" s="1">
      <c r="A5" t="inlineStr">
        <is>
          <t>Ian Thomasson</t>
        </is>
      </c>
      <c r="B5" t="inlineStr">
        <is>
          <t>SD 4</t>
        </is>
      </c>
      <c r="C5" t="inlineStr">
        <is>
          <t>COP</t>
        </is>
      </c>
      <c r="D5" t="inlineStr">
        <is>
          <t>ZBR3</t>
        </is>
      </c>
      <c r="E5" t="inlineStr">
        <is>
          <t>LEIS</t>
        </is>
      </c>
      <c r="F5" t="inlineStr">
        <is>
          <t>ZZE0</t>
        </is>
      </c>
      <c r="I5" t="inlineStr">
        <is>
          <t>E01,D2*,D81,E2*,E31,E51,E6*,E73,E81,E9*,F01,F1*,G1*,H41,I21,I31,I41</t>
        </is>
      </c>
      <c r="K5" t="inlineStr">
        <is>
          <t>CREATE</t>
        </is>
      </c>
      <c r="L5" s="47" t="inlineStr">
        <is>
          <t>MAT 4</t>
        </is>
      </c>
      <c r="M5" s="16" t="inlineStr">
        <is>
          <t>DES 4</t>
        </is>
      </c>
      <c r="P5" s="45" t="n">
        <v>50</v>
      </c>
      <c r="Q5" s="46" t="inlineStr">
        <is>
          <t>MG 4</t>
        </is>
      </c>
      <c r="R5" s="46" t="inlineStr">
        <is>
          <t>PH 4</t>
        </is>
      </c>
      <c r="S5" t="inlineStr">
        <is>
          <t> </t>
        </is>
      </c>
      <c r="T5" t="inlineStr">
        <is>
          <t> </t>
        </is>
      </c>
      <c r="W5" s="47">
        <f>L5</f>
        <v/>
      </c>
      <c r="X5" s="45" t="inlineStr">
        <is>
          <t>MGP 4</t>
        </is>
      </c>
      <c r="Y5" s="45" t="n">
        <v>4</v>
      </c>
      <c r="Z5" t="inlineStr">
        <is>
          <t> </t>
        </is>
      </c>
      <c r="AA5" t="inlineStr">
        <is>
          <t> </t>
        </is>
      </c>
      <c r="AB5" s="45" t="n">
        <v>1</v>
      </c>
      <c r="AC5" s="45" t="n">
        <v>1</v>
      </c>
      <c r="AD5" s="45" t="n">
        <v>1</v>
      </c>
      <c r="AE5" t="inlineStr">
        <is>
          <t> </t>
        </is>
      </c>
      <c r="AF5" t="inlineStr">
        <is>
          <t> </t>
        </is>
      </c>
      <c r="AG5" s="36" t="inlineStr">
        <is>
          <t> </t>
        </is>
      </c>
      <c r="AH5" t="inlineStr">
        <is>
          <t> </t>
        </is>
      </c>
      <c r="AI5" t="inlineStr">
        <is>
          <t> </t>
        </is>
      </c>
      <c r="AJ5" s="12" t="n">
        <v>11</v>
      </c>
      <c r="AK5" s="29" t="inlineStr"/>
      <c r="AL5" s="12" t="n">
        <v>2</v>
      </c>
      <c r="AM5" s="12" t="inlineStr">
        <is>
          <t>ZBR3</t>
        </is>
      </c>
      <c r="AN5" s="7" t="inlineStr">
        <is>
          <t>LEIS</t>
        </is>
      </c>
      <c r="AO5" s="7" t="n"/>
      <c r="AP5" s="7" t="n"/>
    </row>
    <row r="6" ht="15.9" customHeight="1" s="1">
      <c r="A6" t="inlineStr">
        <is>
          <t>Ian Thomasson</t>
        </is>
      </c>
      <c r="B6" t="inlineStr">
        <is>
          <t>SD 5</t>
        </is>
      </c>
      <c r="C6" t="inlineStr">
        <is>
          <t>COP</t>
        </is>
      </c>
      <c r="D6" t="inlineStr">
        <is>
          <t>ZBR3</t>
        </is>
      </c>
      <c r="E6" t="inlineStr">
        <is>
          <t>LEIS</t>
        </is>
      </c>
      <c r="F6" t="inlineStr">
        <is>
          <t>ZZE0</t>
        </is>
      </c>
      <c r="I6" t="inlineStr">
        <is>
          <t>E01,D2*,D81,E2*,E31,E51,E6*,E73,E81,E9*,F01,F1*,G1*,H41,I21,I31,I41</t>
        </is>
      </c>
      <c r="K6" t="inlineStr">
        <is>
          <t>CREATE</t>
        </is>
      </c>
      <c r="L6" s="47" t="inlineStr">
        <is>
          <t>MAT 5</t>
        </is>
      </c>
      <c r="M6" s="16" t="inlineStr">
        <is>
          <t>DES 5</t>
        </is>
      </c>
      <c r="P6" s="45" t="n">
        <v>50</v>
      </c>
      <c r="Q6" s="46" t="inlineStr">
        <is>
          <t>MG 5</t>
        </is>
      </c>
      <c r="R6" s="46" t="inlineStr">
        <is>
          <t>PH 5</t>
        </is>
      </c>
      <c r="S6" t="inlineStr">
        <is>
          <t> </t>
        </is>
      </c>
      <c r="T6" t="inlineStr">
        <is>
          <t> </t>
        </is>
      </c>
      <c r="W6" s="47">
        <f>L6</f>
        <v/>
      </c>
      <c r="X6" s="45" t="inlineStr">
        <is>
          <t>MGP 5</t>
        </is>
      </c>
      <c r="Y6" s="45" t="n">
        <v>5</v>
      </c>
      <c r="Z6" t="inlineStr">
        <is>
          <t> </t>
        </is>
      </c>
      <c r="AA6" t="inlineStr">
        <is>
          <t> </t>
        </is>
      </c>
      <c r="AB6" s="45" t="n">
        <v>1</v>
      </c>
      <c r="AC6" s="45" t="n">
        <v>1</v>
      </c>
      <c r="AD6" s="45" t="n">
        <v>1</v>
      </c>
      <c r="AE6" t="inlineStr">
        <is>
          <t> </t>
        </is>
      </c>
      <c r="AF6" t="inlineStr">
        <is>
          <t> </t>
        </is>
      </c>
      <c r="AG6" s="36" t="inlineStr">
        <is>
          <t> </t>
        </is>
      </c>
      <c r="AH6" t="inlineStr">
        <is>
          <t> </t>
        </is>
      </c>
      <c r="AI6" t="inlineStr">
        <is>
          <t> </t>
        </is>
      </c>
      <c r="AJ6" s="12" t="n">
        <v>10</v>
      </c>
      <c r="AK6" s="29" t="inlineStr"/>
      <c r="AL6" s="12" t="n">
        <v>2</v>
      </c>
      <c r="AM6" s="12" t="inlineStr">
        <is>
          <t>ZBR3</t>
        </is>
      </c>
      <c r="AN6" s="7" t="inlineStr">
        <is>
          <t>LEIS</t>
        </is>
      </c>
      <c r="AO6" s="7" t="n"/>
      <c r="AP6" s="7" t="n"/>
    </row>
    <row r="7" ht="15.9" customHeight="1" s="1">
      <c r="A7" t="inlineStr">
        <is>
          <t>Ian Thomasson</t>
        </is>
      </c>
      <c r="B7" t="inlineStr">
        <is>
          <t>SD 6</t>
        </is>
      </c>
      <c r="C7" t="inlineStr">
        <is>
          <t>COP</t>
        </is>
      </c>
      <c r="D7" t="inlineStr">
        <is>
          <t>ZBR3</t>
        </is>
      </c>
      <c r="E7" t="inlineStr">
        <is>
          <t>LEIS</t>
        </is>
      </c>
      <c r="F7" t="inlineStr">
        <is>
          <t>ZZE0</t>
        </is>
      </c>
      <c r="I7" t="inlineStr">
        <is>
          <t>E01,D2*,D81,E2*,E31,E51,E6*,E73,E81,E9*,F01,F1*,G1*,H41,I21,I31,I41</t>
        </is>
      </c>
      <c r="K7" t="inlineStr">
        <is>
          <t>CREATE</t>
        </is>
      </c>
      <c r="L7" s="47" t="inlineStr">
        <is>
          <t>MAT 6</t>
        </is>
      </c>
      <c r="M7" s="16" t="inlineStr">
        <is>
          <t>DES 6</t>
        </is>
      </c>
      <c r="P7" s="45" t="n">
        <v>50</v>
      </c>
      <c r="Q7" s="46" t="inlineStr">
        <is>
          <t>MG 6</t>
        </is>
      </c>
      <c r="R7" s="46" t="inlineStr">
        <is>
          <t>PH 6</t>
        </is>
      </c>
      <c r="S7" t="inlineStr">
        <is>
          <t> </t>
        </is>
      </c>
      <c r="T7" t="inlineStr">
        <is>
          <t> </t>
        </is>
      </c>
      <c r="W7" s="47">
        <f>L7</f>
        <v/>
      </c>
      <c r="X7" s="45" t="inlineStr">
        <is>
          <t>MGP 6</t>
        </is>
      </c>
      <c r="Y7" s="45" t="n">
        <v>6</v>
      </c>
      <c r="Z7" t="inlineStr">
        <is>
          <t> </t>
        </is>
      </c>
      <c r="AA7" t="inlineStr">
        <is>
          <t> </t>
        </is>
      </c>
      <c r="AB7" s="45" t="n">
        <v>1</v>
      </c>
      <c r="AC7" s="45" t="n">
        <v>1</v>
      </c>
      <c r="AD7" s="45" t="n">
        <v>1</v>
      </c>
      <c r="AE7" t="inlineStr">
        <is>
          <t> </t>
        </is>
      </c>
      <c r="AF7" t="inlineStr">
        <is>
          <t> </t>
        </is>
      </c>
      <c r="AG7" s="36" t="inlineStr">
        <is>
          <t> </t>
        </is>
      </c>
      <c r="AH7" t="inlineStr">
        <is>
          <t> </t>
        </is>
      </c>
      <c r="AI7" t="inlineStr">
        <is>
          <t> </t>
        </is>
      </c>
      <c r="AJ7" s="12" t="n">
        <v>10</v>
      </c>
      <c r="AK7" s="29" t="inlineStr"/>
      <c r="AL7" s="12" t="n">
        <v>2</v>
      </c>
      <c r="AM7" s="12" t="inlineStr">
        <is>
          <t>ZBR3</t>
        </is>
      </c>
      <c r="AN7" s="7" t="inlineStr">
        <is>
          <t>LEIS</t>
        </is>
      </c>
      <c r="AO7" s="7" t="n"/>
      <c r="AP7" s="7" t="n"/>
    </row>
    <row r="8" ht="15.9" customHeight="1" s="1">
      <c r="A8" t="inlineStr">
        <is>
          <t>Ian Thomasson</t>
        </is>
      </c>
      <c r="B8" t="inlineStr">
        <is>
          <t>SD 7</t>
        </is>
      </c>
      <c r="C8" t="inlineStr">
        <is>
          <t>COP</t>
        </is>
      </c>
      <c r="D8" t="inlineStr">
        <is>
          <t>ZBR3</t>
        </is>
      </c>
      <c r="E8" t="inlineStr">
        <is>
          <t>LEIS</t>
        </is>
      </c>
      <c r="F8" t="inlineStr">
        <is>
          <t>ZZE0</t>
        </is>
      </c>
      <c r="I8" t="inlineStr">
        <is>
          <t>E01,D2*,D81,E2*,E31,E51,E6*,E73,E81,E9*,F01,F1*,G1*,H41,I21,I31,I41</t>
        </is>
      </c>
      <c r="K8" t="inlineStr">
        <is>
          <t>CREATE</t>
        </is>
      </c>
      <c r="L8" s="47" t="inlineStr">
        <is>
          <t>MAT 7</t>
        </is>
      </c>
      <c r="M8" s="16" t="inlineStr">
        <is>
          <t>DES 7</t>
        </is>
      </c>
      <c r="N8" s="33" t="n"/>
      <c r="P8" s="45" t="n">
        <v>50</v>
      </c>
      <c r="Q8" s="46" t="inlineStr">
        <is>
          <t>MG 7</t>
        </is>
      </c>
      <c r="R8" s="46" t="inlineStr">
        <is>
          <t>PH 7</t>
        </is>
      </c>
      <c r="S8" t="inlineStr">
        <is>
          <t> </t>
        </is>
      </c>
      <c r="T8" t="inlineStr">
        <is>
          <t> </t>
        </is>
      </c>
      <c r="W8" s="47">
        <f>L8</f>
        <v/>
      </c>
      <c r="X8" s="45" t="inlineStr">
        <is>
          <t>MGP 7</t>
        </is>
      </c>
      <c r="Y8" s="45" t="n">
        <v>7</v>
      </c>
      <c r="Z8" t="inlineStr">
        <is>
          <t> </t>
        </is>
      </c>
      <c r="AA8" t="inlineStr">
        <is>
          <t> </t>
        </is>
      </c>
      <c r="AB8" s="45" t="n">
        <v>1</v>
      </c>
      <c r="AC8" s="45" t="n">
        <v>1</v>
      </c>
      <c r="AD8" s="45" t="n">
        <v>1</v>
      </c>
      <c r="AE8" t="inlineStr">
        <is>
          <t> </t>
        </is>
      </c>
      <c r="AF8" t="inlineStr">
        <is>
          <t> </t>
        </is>
      </c>
      <c r="AG8" s="36" t="inlineStr">
        <is>
          <t> </t>
        </is>
      </c>
      <c r="AH8" t="inlineStr">
        <is>
          <t> </t>
        </is>
      </c>
      <c r="AI8" t="inlineStr">
        <is>
          <t> </t>
        </is>
      </c>
      <c r="AJ8" s="12" t="n">
        <v>10</v>
      </c>
      <c r="AK8" s="29" t="inlineStr"/>
      <c r="AL8" s="12" t="n">
        <v>2</v>
      </c>
      <c r="AM8" s="12" t="inlineStr">
        <is>
          <t>ZBR3</t>
        </is>
      </c>
      <c r="AN8" s="7" t="inlineStr">
        <is>
          <t>LEIS</t>
        </is>
      </c>
      <c r="AO8" s="7" t="n"/>
      <c r="AP8" s="7" t="n"/>
    </row>
    <row r="9" ht="15.9" customHeight="1" s="1">
      <c r="A9" t="inlineStr">
        <is>
          <t>Ian Thomasson</t>
        </is>
      </c>
      <c r="B9" t="inlineStr">
        <is>
          <t>SD 8</t>
        </is>
      </c>
      <c r="C9" t="inlineStr">
        <is>
          <t>COP</t>
        </is>
      </c>
      <c r="D9" t="inlineStr">
        <is>
          <t>ZBR3</t>
        </is>
      </c>
      <c r="E9" t="inlineStr">
        <is>
          <t>LEIS</t>
        </is>
      </c>
      <c r="F9" t="inlineStr">
        <is>
          <t>ZZE0</t>
        </is>
      </c>
      <c r="I9" t="inlineStr">
        <is>
          <t>E01,D2*,D81,E2*,E31,E51,E6*,E73,E81,E9*,F01,F1*,G1*,H41,I21,I31,I41</t>
        </is>
      </c>
      <c r="K9" t="inlineStr">
        <is>
          <t>CREATE</t>
        </is>
      </c>
      <c r="L9" s="47" t="inlineStr">
        <is>
          <t>MAT 8</t>
        </is>
      </c>
      <c r="M9" s="16" t="inlineStr">
        <is>
          <t>DES 8</t>
        </is>
      </c>
      <c r="P9" s="45" t="n">
        <v>50</v>
      </c>
      <c r="Q9" s="46" t="inlineStr">
        <is>
          <t>MG 8</t>
        </is>
      </c>
      <c r="R9" s="46" t="inlineStr">
        <is>
          <t>PH 8</t>
        </is>
      </c>
      <c r="S9" t="inlineStr">
        <is>
          <t> </t>
        </is>
      </c>
      <c r="T9" t="inlineStr">
        <is>
          <t> </t>
        </is>
      </c>
      <c r="W9" s="47">
        <f>L9</f>
        <v/>
      </c>
      <c r="X9" s="45" t="inlineStr">
        <is>
          <t>MGP 8</t>
        </is>
      </c>
      <c r="Y9" s="45" t="n">
        <v>8</v>
      </c>
      <c r="Z9" t="inlineStr">
        <is>
          <t> </t>
        </is>
      </c>
      <c r="AA9" t="inlineStr">
        <is>
          <t> </t>
        </is>
      </c>
      <c r="AB9" s="45" t="n">
        <v>1</v>
      </c>
      <c r="AC9" s="45" t="n">
        <v>1</v>
      </c>
      <c r="AD9" s="45" t="n">
        <v>1</v>
      </c>
      <c r="AE9" t="inlineStr">
        <is>
          <t> </t>
        </is>
      </c>
      <c r="AF9" t="inlineStr">
        <is>
          <t> </t>
        </is>
      </c>
      <c r="AG9" s="36" t="inlineStr">
        <is>
          <t> </t>
        </is>
      </c>
      <c r="AH9" t="inlineStr">
        <is>
          <t> </t>
        </is>
      </c>
      <c r="AI9" t="inlineStr">
        <is>
          <t> </t>
        </is>
      </c>
      <c r="AJ9" s="12" t="n">
        <v>10</v>
      </c>
      <c r="AK9" s="29" t="inlineStr"/>
      <c r="AL9" s="12" t="n">
        <v>2</v>
      </c>
      <c r="AM9" s="12" t="inlineStr">
        <is>
          <t>ZBR3</t>
        </is>
      </c>
      <c r="AN9" s="7" t="inlineStr">
        <is>
          <t>LEIS</t>
        </is>
      </c>
      <c r="AO9" s="7" t="n"/>
      <c r="AP9" s="7" t="n"/>
    </row>
    <row r="10" ht="15.9" customHeight="1" s="1">
      <c r="A10" t="inlineStr">
        <is>
          <t>Ian Thomasson</t>
        </is>
      </c>
      <c r="B10" t="inlineStr">
        <is>
          <t>SD 9</t>
        </is>
      </c>
      <c r="C10" t="inlineStr">
        <is>
          <t>COP</t>
        </is>
      </c>
      <c r="D10" t="inlineStr">
        <is>
          <t>ZBR3</t>
        </is>
      </c>
      <c r="E10" t="inlineStr">
        <is>
          <t>LEIS</t>
        </is>
      </c>
      <c r="F10" t="inlineStr">
        <is>
          <t>ZZE0</t>
        </is>
      </c>
      <c r="I10" t="inlineStr">
        <is>
          <t>E01,D2*,D81,E2*,E31,E51,E6*,E73,E81,E9*,F01,F1*,G1*,H41,I21,I31,I41</t>
        </is>
      </c>
      <c r="K10" t="inlineStr">
        <is>
          <t>CREATE</t>
        </is>
      </c>
      <c r="L10" s="47" t="inlineStr">
        <is>
          <t>MAT 9</t>
        </is>
      </c>
      <c r="M10" s="16" t="inlineStr">
        <is>
          <t>DES 9</t>
        </is>
      </c>
      <c r="O10" t="inlineStr">
        <is>
          <t> </t>
        </is>
      </c>
      <c r="P10" s="45" t="n">
        <v>50</v>
      </c>
      <c r="Q10" s="46" t="inlineStr">
        <is>
          <t>MG 9</t>
        </is>
      </c>
      <c r="R10" s="46" t="inlineStr">
        <is>
          <t>PH 9</t>
        </is>
      </c>
      <c r="W10" s="47">
        <f>L10</f>
        <v/>
      </c>
      <c r="X10" s="45" t="inlineStr">
        <is>
          <t>MGP 9</t>
        </is>
      </c>
      <c r="Y10" s="45" t="n">
        <v>9</v>
      </c>
      <c r="Z10" t="inlineStr">
        <is>
          <t> </t>
        </is>
      </c>
      <c r="AA10" t="inlineStr">
        <is>
          <t> </t>
        </is>
      </c>
      <c r="AB10" s="45" t="n">
        <v>1</v>
      </c>
      <c r="AC10" s="45" t="n">
        <v>1</v>
      </c>
      <c r="AD10" s="45" t="n">
        <v>1</v>
      </c>
      <c r="AE10" t="inlineStr">
        <is>
          <t> </t>
        </is>
      </c>
      <c r="AF10" t="inlineStr">
        <is>
          <t> </t>
        </is>
      </c>
      <c r="AG10" s="36" t="inlineStr">
        <is>
          <t> </t>
        </is>
      </c>
      <c r="AH10" t="inlineStr">
        <is>
          <t> </t>
        </is>
      </c>
      <c r="AI10" t="inlineStr">
        <is>
          <t> </t>
        </is>
      </c>
      <c r="AJ10" s="12" t="n">
        <v>10</v>
      </c>
      <c r="AK10" s="29" t="inlineStr"/>
      <c r="AL10" s="12" t="n">
        <v>2</v>
      </c>
      <c r="AM10" s="12" t="inlineStr">
        <is>
          <t>ZBR3</t>
        </is>
      </c>
      <c r="AN10" s="7" t="inlineStr">
        <is>
          <t>LEIS</t>
        </is>
      </c>
      <c r="AO10" s="7" t="n"/>
      <c r="AP10" s="7" t="n"/>
    </row>
    <row r="11" ht="15.9" customHeight="1" s="1">
      <c r="A11" t="inlineStr">
        <is>
          <t>Ian Thomasson</t>
        </is>
      </c>
      <c r="B11" t="inlineStr">
        <is>
          <t>SD 10</t>
        </is>
      </c>
      <c r="C11" t="inlineStr">
        <is>
          <t>COP</t>
        </is>
      </c>
      <c r="D11" t="inlineStr">
        <is>
          <t>ZBR3</t>
        </is>
      </c>
      <c r="E11" t="inlineStr">
        <is>
          <t>LEIS</t>
        </is>
      </c>
      <c r="F11" t="inlineStr">
        <is>
          <t>ZZE0</t>
        </is>
      </c>
      <c r="I11" t="inlineStr">
        <is>
          <t>E01,D2*,D81,E2*,E31,E51,E6*,E73,E81,E9*,F01,F1*,G1*,H41,I21,I31,I41</t>
        </is>
      </c>
      <c r="K11" t="inlineStr">
        <is>
          <t>CREATE</t>
        </is>
      </c>
      <c r="L11" s="47" t="inlineStr">
        <is>
          <t>MAT 10</t>
        </is>
      </c>
      <c r="M11" s="16" t="inlineStr">
        <is>
          <t>DES 10</t>
        </is>
      </c>
      <c r="O11" t="inlineStr">
        <is>
          <t> </t>
        </is>
      </c>
      <c r="P11" s="45" t="n">
        <v>50</v>
      </c>
      <c r="Q11" s="46" t="inlineStr">
        <is>
          <t>MG 10</t>
        </is>
      </c>
      <c r="R11" s="46" t="inlineStr">
        <is>
          <t>PH 10</t>
        </is>
      </c>
      <c r="W11" s="47">
        <f>L11</f>
        <v/>
      </c>
      <c r="X11" s="45" t="inlineStr">
        <is>
          <t>MGP 10</t>
        </is>
      </c>
      <c r="Y11" s="45" t="n">
        <v>10</v>
      </c>
      <c r="AA11" t="inlineStr">
        <is>
          <t> </t>
        </is>
      </c>
      <c r="AB11" s="45" t="n">
        <v>1</v>
      </c>
      <c r="AC11" s="45" t="n">
        <v>1</v>
      </c>
      <c r="AD11" s="45" t="n">
        <v>1</v>
      </c>
      <c r="AE11" t="inlineStr">
        <is>
          <t> </t>
        </is>
      </c>
      <c r="AF11" t="inlineStr">
        <is>
          <t> </t>
        </is>
      </c>
      <c r="AG11" s="36" t="inlineStr">
        <is>
          <t> </t>
        </is>
      </c>
      <c r="AH11" t="inlineStr">
        <is>
          <t> </t>
        </is>
      </c>
      <c r="AI11" t="inlineStr">
        <is>
          <t> </t>
        </is>
      </c>
      <c r="AJ11" s="12" t="n">
        <v>10</v>
      </c>
      <c r="AK11" s="29" t="inlineStr"/>
      <c r="AL11" s="12" t="n">
        <v>2</v>
      </c>
      <c r="AM11" s="12" t="inlineStr">
        <is>
          <t>ZBR3</t>
        </is>
      </c>
      <c r="AN11" s="7" t="inlineStr">
        <is>
          <t>LEIS</t>
        </is>
      </c>
      <c r="AO11" s="7" t="n"/>
      <c r="AP11" s="7" t="n"/>
    </row>
    <row r="12" ht="15.9" customHeight="1" s="1">
      <c r="A12" t="inlineStr">
        <is>
          <t>Ian Thomasson</t>
        </is>
      </c>
      <c r="B12" t="inlineStr">
        <is>
          <t>SD 11</t>
        </is>
      </c>
      <c r="C12" t="inlineStr">
        <is>
          <t>COP</t>
        </is>
      </c>
      <c r="D12" t="inlineStr">
        <is>
          <t>ZBR3</t>
        </is>
      </c>
      <c r="E12" t="inlineStr">
        <is>
          <t>LEIS</t>
        </is>
      </c>
      <c r="F12" t="inlineStr">
        <is>
          <t>ZZE0</t>
        </is>
      </c>
      <c r="I12" t="inlineStr">
        <is>
          <t>E01,D2*,D81,E2*,E31,E51,E6*,E73,E81,E9*,F01,F1*,G1*,H41,I21,I31,I41</t>
        </is>
      </c>
      <c r="K12" t="inlineStr">
        <is>
          <t>CREATE</t>
        </is>
      </c>
      <c r="L12" s="47" t="inlineStr">
        <is>
          <t>MAT 11</t>
        </is>
      </c>
      <c r="M12" s="16" t="inlineStr">
        <is>
          <t>DES 11</t>
        </is>
      </c>
      <c r="O12" t="inlineStr">
        <is>
          <t> </t>
        </is>
      </c>
      <c r="P12" s="45" t="n">
        <v>50</v>
      </c>
      <c r="Q12" s="46" t="inlineStr">
        <is>
          <t>MG 11</t>
        </is>
      </c>
      <c r="R12" s="46" t="inlineStr">
        <is>
          <t>PH 11</t>
        </is>
      </c>
      <c r="W12" s="47">
        <f>L12</f>
        <v/>
      </c>
      <c r="X12" s="45" t="inlineStr">
        <is>
          <t>MGP 11</t>
        </is>
      </c>
      <c r="Y12" s="45" t="n">
        <v>11</v>
      </c>
      <c r="AA12" t="inlineStr">
        <is>
          <t> </t>
        </is>
      </c>
      <c r="AB12" s="45" t="n">
        <v>1</v>
      </c>
      <c r="AC12" s="45" t="n">
        <v>1</v>
      </c>
      <c r="AD12" s="45" t="n">
        <v>1</v>
      </c>
      <c r="AE12" t="inlineStr">
        <is>
          <t> </t>
        </is>
      </c>
      <c r="AF12" t="inlineStr">
        <is>
          <t> </t>
        </is>
      </c>
      <c r="AG12" s="36" t="inlineStr">
        <is>
          <t> </t>
        </is>
      </c>
      <c r="AH12" t="inlineStr">
        <is>
          <t> </t>
        </is>
      </c>
      <c r="AI12" t="inlineStr">
        <is>
          <t> </t>
        </is>
      </c>
      <c r="AJ12" s="12" t="n">
        <v>10</v>
      </c>
      <c r="AK12" s="29" t="inlineStr"/>
      <c r="AL12" s="12" t="n">
        <v>2</v>
      </c>
      <c r="AM12" s="12" t="inlineStr">
        <is>
          <t>ZBR3</t>
        </is>
      </c>
      <c r="AN12" s="7" t="inlineStr">
        <is>
          <t>LEIS</t>
        </is>
      </c>
      <c r="AO12" s="7" t="n"/>
      <c r="AP12" s="7" t="n"/>
    </row>
    <row r="13" ht="15.9" customHeight="1" s="1">
      <c r="A13" t="inlineStr">
        <is>
          <t>Ian Thomasson</t>
        </is>
      </c>
      <c r="B13" t="inlineStr">
        <is>
          <t>SD 12</t>
        </is>
      </c>
      <c r="C13" t="inlineStr">
        <is>
          <t>COP</t>
        </is>
      </c>
      <c r="D13" t="inlineStr">
        <is>
          <t>ZBR3</t>
        </is>
      </c>
      <c r="E13" t="inlineStr">
        <is>
          <t>LEIS</t>
        </is>
      </c>
      <c r="F13" t="inlineStr">
        <is>
          <t>ZZE0</t>
        </is>
      </c>
      <c r="I13" t="inlineStr">
        <is>
          <t>E01,D2*,D81,E2*,E31,E51,E6*,E73,E81,E9*,F01,F1*,G1*,H41,I21,I31,I41</t>
        </is>
      </c>
      <c r="K13" t="inlineStr">
        <is>
          <t>CREATE</t>
        </is>
      </c>
      <c r="L13" s="47" t="inlineStr">
        <is>
          <t>MAT 12</t>
        </is>
      </c>
      <c r="M13" s="16" t="inlineStr">
        <is>
          <t>DES 12</t>
        </is>
      </c>
      <c r="O13" t="inlineStr">
        <is>
          <t> </t>
        </is>
      </c>
      <c r="P13" s="45" t="n">
        <v>50</v>
      </c>
      <c r="Q13" s="46" t="inlineStr">
        <is>
          <t>MG 12</t>
        </is>
      </c>
      <c r="R13" s="46" t="inlineStr">
        <is>
          <t>PH 12</t>
        </is>
      </c>
      <c r="W13" s="47">
        <f>L13</f>
        <v/>
      </c>
      <c r="X13" s="45" t="inlineStr">
        <is>
          <t>MGP 12</t>
        </is>
      </c>
      <c r="Y13" s="45" t="n">
        <v>12</v>
      </c>
      <c r="AA13" t="inlineStr">
        <is>
          <t> </t>
        </is>
      </c>
      <c r="AB13" s="45" t="n">
        <v>1</v>
      </c>
      <c r="AC13" s="45" t="n">
        <v>1</v>
      </c>
      <c r="AD13" s="45" t="n">
        <v>1</v>
      </c>
      <c r="AE13" t="inlineStr">
        <is>
          <t> </t>
        </is>
      </c>
      <c r="AF13" t="inlineStr">
        <is>
          <t> </t>
        </is>
      </c>
      <c r="AG13" s="36" t="inlineStr">
        <is>
          <t> </t>
        </is>
      </c>
      <c r="AH13" t="inlineStr">
        <is>
          <t> </t>
        </is>
      </c>
      <c r="AI13" t="inlineStr">
        <is>
          <t> </t>
        </is>
      </c>
      <c r="AJ13" s="12" t="n">
        <v>10</v>
      </c>
      <c r="AK13" s="29" t="inlineStr"/>
      <c r="AL13" s="12" t="n">
        <v>2</v>
      </c>
      <c r="AM13" s="12" t="inlineStr">
        <is>
          <t>ZBR3</t>
        </is>
      </c>
      <c r="AN13" s="7" t="inlineStr">
        <is>
          <t>LEIS</t>
        </is>
      </c>
      <c r="AO13" s="7" t="n"/>
      <c r="AP13" s="7" t="n"/>
    </row>
    <row r="14" ht="15.9" customHeight="1" s="1">
      <c r="A14" t="inlineStr">
        <is>
          <t>Ian Thomasson</t>
        </is>
      </c>
      <c r="B14" t="inlineStr">
        <is>
          <t>SD 13</t>
        </is>
      </c>
      <c r="C14" t="inlineStr">
        <is>
          <t>COP</t>
        </is>
      </c>
      <c r="D14" t="inlineStr">
        <is>
          <t>ZBR3</t>
        </is>
      </c>
      <c r="E14" t="inlineStr">
        <is>
          <t>LEIS</t>
        </is>
      </c>
      <c r="F14" t="inlineStr">
        <is>
          <t>ZZE0</t>
        </is>
      </c>
      <c r="I14" t="inlineStr">
        <is>
          <t>E01,D2*,D81,E2*,E31,E51,E6*,E73,E81,E9*,F01,F1*,G1*,H41,I21,I31,I41</t>
        </is>
      </c>
      <c r="K14" t="inlineStr">
        <is>
          <t>CREATE</t>
        </is>
      </c>
      <c r="L14" s="47" t="inlineStr">
        <is>
          <t>MAT 13</t>
        </is>
      </c>
      <c r="M14" s="16" t="inlineStr">
        <is>
          <t>DES 13</t>
        </is>
      </c>
      <c r="O14" t="inlineStr">
        <is>
          <t> </t>
        </is>
      </c>
      <c r="P14" s="45" t="n">
        <v>50</v>
      </c>
      <c r="Q14" s="46" t="inlineStr">
        <is>
          <t>MG 13</t>
        </is>
      </c>
      <c r="R14" s="46" t="inlineStr">
        <is>
          <t>PH 13</t>
        </is>
      </c>
      <c r="W14" s="47">
        <f>L14</f>
        <v/>
      </c>
      <c r="X14" s="45" t="inlineStr">
        <is>
          <t>MGP 13</t>
        </is>
      </c>
      <c r="Y14" s="45" t="n">
        <v>13</v>
      </c>
      <c r="AA14" t="inlineStr">
        <is>
          <t> </t>
        </is>
      </c>
      <c r="AB14" s="45" t="n">
        <v>1</v>
      </c>
      <c r="AC14" s="45" t="n">
        <v>1</v>
      </c>
      <c r="AD14" s="45" t="n">
        <v>1</v>
      </c>
      <c r="AE14" t="inlineStr">
        <is>
          <t> </t>
        </is>
      </c>
      <c r="AF14" t="inlineStr">
        <is>
          <t> </t>
        </is>
      </c>
      <c r="AG14" s="36" t="inlineStr">
        <is>
          <t> </t>
        </is>
      </c>
      <c r="AH14" t="inlineStr">
        <is>
          <t> </t>
        </is>
      </c>
      <c r="AI14" t="inlineStr">
        <is>
          <t> </t>
        </is>
      </c>
      <c r="AJ14" s="12" t="n">
        <v>10</v>
      </c>
      <c r="AK14" s="29" t="inlineStr"/>
      <c r="AL14" s="12" t="n">
        <v>2</v>
      </c>
      <c r="AM14" s="12" t="inlineStr">
        <is>
          <t>ZBR3</t>
        </is>
      </c>
      <c r="AN14" s="7" t="inlineStr">
        <is>
          <t>LEIS</t>
        </is>
      </c>
      <c r="AO14" s="7" t="n"/>
      <c r="AP14" s="7" t="n"/>
    </row>
    <row r="15" ht="15.9" customHeight="1" s="1">
      <c r="A15" t="inlineStr">
        <is>
          <t>Ian Thomasson</t>
        </is>
      </c>
      <c r="B15" t="inlineStr">
        <is>
          <t>SD 14</t>
        </is>
      </c>
      <c r="C15" t="inlineStr">
        <is>
          <t>COP</t>
        </is>
      </c>
      <c r="D15" t="inlineStr">
        <is>
          <t>ZBR3</t>
        </is>
      </c>
      <c r="E15" t="inlineStr">
        <is>
          <t>LEIS</t>
        </is>
      </c>
      <c r="F15" t="inlineStr">
        <is>
          <t>ZZE0</t>
        </is>
      </c>
      <c r="I15" t="inlineStr">
        <is>
          <t>E01,D2*,D81,E2*,E31,E51,E6*,E73,E81,E9*,F01,F1*,G1*,H41,I21,I31,I41</t>
        </is>
      </c>
      <c r="K15" t="inlineStr">
        <is>
          <t>CREATE</t>
        </is>
      </c>
      <c r="L15" s="47" t="inlineStr">
        <is>
          <t>MAT 14</t>
        </is>
      </c>
      <c r="M15" s="16" t="inlineStr">
        <is>
          <t>DES 14</t>
        </is>
      </c>
      <c r="O15" t="inlineStr">
        <is>
          <t> </t>
        </is>
      </c>
      <c r="P15" s="45" t="n">
        <v>50</v>
      </c>
      <c r="Q15" s="46" t="inlineStr">
        <is>
          <t>MG 14</t>
        </is>
      </c>
      <c r="R15" s="46" t="inlineStr">
        <is>
          <t>PH 14</t>
        </is>
      </c>
      <c r="W15" s="47">
        <f>L15</f>
        <v/>
      </c>
      <c r="X15" s="45" t="inlineStr">
        <is>
          <t>MGP 14</t>
        </is>
      </c>
      <c r="Y15" s="45" t="n">
        <v>14</v>
      </c>
      <c r="AA15" t="inlineStr">
        <is>
          <t> </t>
        </is>
      </c>
      <c r="AB15" s="45" t="n">
        <v>1</v>
      </c>
      <c r="AC15" s="45" t="n">
        <v>1</v>
      </c>
      <c r="AD15" s="45" t="n">
        <v>1</v>
      </c>
      <c r="AE15" t="inlineStr">
        <is>
          <t> </t>
        </is>
      </c>
      <c r="AF15" t="inlineStr">
        <is>
          <t> </t>
        </is>
      </c>
      <c r="AG15" s="36" t="inlineStr">
        <is>
          <t> </t>
        </is>
      </c>
      <c r="AH15" t="inlineStr">
        <is>
          <t> </t>
        </is>
      </c>
      <c r="AI15" t="inlineStr">
        <is>
          <t> </t>
        </is>
      </c>
      <c r="AJ15" s="12" t="n">
        <v>10</v>
      </c>
      <c r="AK15" s="29" t="inlineStr"/>
      <c r="AL15" s="12" t="n">
        <v>2</v>
      </c>
      <c r="AM15" s="12" t="inlineStr">
        <is>
          <t>ZBR3</t>
        </is>
      </c>
      <c r="AN15" s="19" t="inlineStr">
        <is>
          <t>LEIS</t>
        </is>
      </c>
    </row>
    <row r="16" ht="15.9" customHeight="1" s="1">
      <c r="A16" t="inlineStr">
        <is>
          <t>Ian Thomasson</t>
        </is>
      </c>
      <c r="B16" t="inlineStr">
        <is>
          <t>SD 15</t>
        </is>
      </c>
      <c r="C16" t="inlineStr">
        <is>
          <t>COP</t>
        </is>
      </c>
      <c r="D16" t="inlineStr">
        <is>
          <t>ZBR3</t>
        </is>
      </c>
      <c r="E16" t="inlineStr">
        <is>
          <t>LEIS</t>
        </is>
      </c>
      <c r="F16" t="inlineStr">
        <is>
          <t>ZZE0</t>
        </is>
      </c>
      <c r="I16" t="inlineStr">
        <is>
          <t>E01,D2*,D81,E2*,E31,E51,E6*,E73,E81,E9*,F01,F1*,G1*,H41,I21,I31,I41</t>
        </is>
      </c>
      <c r="K16" t="inlineStr">
        <is>
          <t>CREATE</t>
        </is>
      </c>
      <c r="L16" s="47" t="inlineStr">
        <is>
          <t>MAT 15</t>
        </is>
      </c>
      <c r="M16" s="16" t="inlineStr">
        <is>
          <t>DES 15</t>
        </is>
      </c>
      <c r="O16" t="inlineStr">
        <is>
          <t> </t>
        </is>
      </c>
      <c r="P16" s="45" t="n">
        <v>50</v>
      </c>
      <c r="Q16" s="46" t="inlineStr">
        <is>
          <t>MG 15</t>
        </is>
      </c>
      <c r="R16" s="46" t="inlineStr">
        <is>
          <t>PH 15</t>
        </is>
      </c>
      <c r="W16" s="47">
        <f>L16</f>
        <v/>
      </c>
      <c r="X16" s="45" t="inlineStr">
        <is>
          <t>MGP 15</t>
        </is>
      </c>
      <c r="Y16" s="45" t="n">
        <v>15</v>
      </c>
      <c r="AA16" t="inlineStr">
        <is>
          <t> </t>
        </is>
      </c>
      <c r="AB16" s="45" t="n">
        <v>1</v>
      </c>
      <c r="AC16" s="45" t="n">
        <v>1</v>
      </c>
      <c r="AD16" s="45" t="n">
        <v>1</v>
      </c>
      <c r="AE16" t="inlineStr">
        <is>
          <t> </t>
        </is>
      </c>
      <c r="AF16" t="inlineStr">
        <is>
          <t> </t>
        </is>
      </c>
      <c r="AG16" s="36" t="inlineStr">
        <is>
          <t> </t>
        </is>
      </c>
      <c r="AH16" t="inlineStr">
        <is>
          <t> </t>
        </is>
      </c>
      <c r="AI16" t="inlineStr">
        <is>
          <t> </t>
        </is>
      </c>
      <c r="AJ16" s="12" t="n">
        <v>11</v>
      </c>
      <c r="AK16" s="29" t="inlineStr"/>
      <c r="AL16" s="12" t="n">
        <v>2</v>
      </c>
      <c r="AM16" s="12" t="inlineStr">
        <is>
          <t>ZBR3</t>
        </is>
      </c>
      <c r="AN16" s="19" t="inlineStr">
        <is>
          <t>LEIS</t>
        </is>
      </c>
    </row>
    <row r="17" ht="15.9" customHeight="1" s="1">
      <c r="A17" t="inlineStr">
        <is>
          <t>Ian Thomasson</t>
        </is>
      </c>
      <c r="B17" t="inlineStr">
        <is>
          <t>SD 16</t>
        </is>
      </c>
      <c r="C17" t="inlineStr">
        <is>
          <t>COP</t>
        </is>
      </c>
      <c r="D17" t="inlineStr">
        <is>
          <t>ZBR3</t>
        </is>
      </c>
      <c r="E17" t="inlineStr">
        <is>
          <t>LEIS</t>
        </is>
      </c>
      <c r="F17" t="inlineStr">
        <is>
          <t>ZZE0</t>
        </is>
      </c>
      <c r="I17" t="inlineStr">
        <is>
          <t>E01,D2*,D81,E2*,E31,E51,E6*,E73,E81,E9*,F01,F1*,G1*,H41,I21,I31,I41</t>
        </is>
      </c>
      <c r="K17" t="inlineStr">
        <is>
          <t>CREATE</t>
        </is>
      </c>
      <c r="L17" s="47" t="inlineStr">
        <is>
          <t>MAT 16</t>
        </is>
      </c>
      <c r="M17" s="16" t="inlineStr">
        <is>
          <t>DES 16</t>
        </is>
      </c>
      <c r="O17" t="inlineStr">
        <is>
          <t> </t>
        </is>
      </c>
      <c r="P17" s="45" t="n">
        <v>50</v>
      </c>
      <c r="Q17" s="46" t="inlineStr">
        <is>
          <t>MG 16</t>
        </is>
      </c>
      <c r="R17" s="46" t="inlineStr">
        <is>
          <t>PH 16</t>
        </is>
      </c>
      <c r="W17" s="47">
        <f>L17</f>
        <v/>
      </c>
      <c r="X17" s="45" t="inlineStr">
        <is>
          <t>MGP 16</t>
        </is>
      </c>
      <c r="Y17" s="45" t="n">
        <v>16</v>
      </c>
      <c r="AA17" t="inlineStr">
        <is>
          <t> </t>
        </is>
      </c>
      <c r="AB17" s="45" t="n">
        <v>1</v>
      </c>
      <c r="AC17" s="45" t="n">
        <v>1</v>
      </c>
      <c r="AD17" s="45" t="n">
        <v>1</v>
      </c>
      <c r="AE17" t="inlineStr">
        <is>
          <t> </t>
        </is>
      </c>
      <c r="AF17" t="inlineStr">
        <is>
          <t> </t>
        </is>
      </c>
      <c r="AG17" s="36" t="inlineStr">
        <is>
          <t> </t>
        </is>
      </c>
      <c r="AH17" t="inlineStr">
        <is>
          <t> </t>
        </is>
      </c>
      <c r="AI17" t="inlineStr">
        <is>
          <t> </t>
        </is>
      </c>
      <c r="AJ17" s="12" t="n">
        <v>11</v>
      </c>
      <c r="AK17" s="29" t="inlineStr"/>
      <c r="AL17" s="12" t="n">
        <v>2</v>
      </c>
      <c r="AM17" s="12" t="inlineStr">
        <is>
          <t>ZBR3</t>
        </is>
      </c>
      <c r="AN17" s="19" t="inlineStr">
        <is>
          <t>LEIS</t>
        </is>
      </c>
    </row>
    <row r="18" ht="15.9" customHeight="1" s="1">
      <c r="A18" s="0" t="inlineStr">
        <is>
          <t>Ian Thomasson</t>
        </is>
      </c>
      <c r="B18" t="inlineStr">
        <is>
          <t>SD 17</t>
        </is>
      </c>
      <c r="C18" s="0" t="inlineStr">
        <is>
          <t>COP</t>
        </is>
      </c>
      <c r="D18" s="0" t="inlineStr">
        <is>
          <t>ZBR3</t>
        </is>
      </c>
      <c r="E18" s="0" t="inlineStr">
        <is>
          <t>LEIS</t>
        </is>
      </c>
      <c r="F18" s="31" t="inlineStr">
        <is>
          <t>ZZE0</t>
        </is>
      </c>
      <c r="G18" s="0" t="n"/>
      <c r="H18" s="0" t="n"/>
      <c r="I18" s="0" t="inlineStr">
        <is>
          <t>E01,D2*,D81,E2*,E31,E51,E6*,E73,E81,E9*,F01,F1*,G1*,H41,I21,I31,I41</t>
        </is>
      </c>
      <c r="J18" s="0" t="n"/>
      <c r="K18" s="0" t="inlineStr">
        <is>
          <t>CREATE</t>
        </is>
      </c>
      <c r="L18" s="47" t="inlineStr">
        <is>
          <t>MAT 17</t>
        </is>
      </c>
      <c r="M18" s="16" t="inlineStr">
        <is>
          <t>DES 17</t>
        </is>
      </c>
      <c r="N18" s="0" t="n"/>
      <c r="O18" s="0" t="n"/>
      <c r="P18" s="45" t="n">
        <v>50</v>
      </c>
      <c r="Q18" s="46" t="inlineStr">
        <is>
          <t>MG 17</t>
        </is>
      </c>
      <c r="R18" s="46" t="inlineStr">
        <is>
          <t>PH 17</t>
        </is>
      </c>
      <c r="S18" s="0" t="n"/>
      <c r="T18" s="0" t="n"/>
      <c r="U18" s="0" t="n"/>
      <c r="V18" s="0" t="n"/>
      <c r="W18" s="47">
        <f>L18</f>
        <v/>
      </c>
      <c r="X18" s="45" t="inlineStr">
        <is>
          <t>MGP 17</t>
        </is>
      </c>
      <c r="Y18" s="45" t="n">
        <v>17</v>
      </c>
      <c r="Z18" s="0" t="n"/>
      <c r="AA18" t="inlineStr">
        <is>
          <t> </t>
        </is>
      </c>
      <c r="AB18" s="45" t="n">
        <v>1</v>
      </c>
      <c r="AC18" s="45" t="n">
        <v>1</v>
      </c>
      <c r="AD18" s="45" t="n">
        <v>1</v>
      </c>
      <c r="AE18" s="0" t="n"/>
      <c r="AF18" s="0" t="n"/>
      <c r="AG18" s="0" t="n"/>
      <c r="AH18" s="0" t="n"/>
      <c r="AI18" s="0" t="n"/>
      <c r="AJ18" s="12">
        <f>MID(L18,AL18,1)</f>
        <v/>
      </c>
      <c r="AK18" s="29">
        <f>EXACT(MID(L16,1,5),"ZWMPS")</f>
        <v/>
      </c>
      <c r="AL18" s="12">
        <f>LEN(L16)</f>
        <v/>
      </c>
      <c r="AM18" s="12">
        <f>LEN(M16)</f>
        <v/>
      </c>
    </row>
    <row r="19" ht="15.9" customHeight="1" s="1">
      <c r="A19" s="0" t="inlineStr">
        <is>
          <t>Ian Thomasson</t>
        </is>
      </c>
      <c r="B19" t="inlineStr">
        <is>
          <t>SD 18</t>
        </is>
      </c>
      <c r="C19" s="0" t="inlineStr">
        <is>
          <t>COP</t>
        </is>
      </c>
      <c r="D19" s="0" t="inlineStr">
        <is>
          <t>ZBR3</t>
        </is>
      </c>
      <c r="E19" s="0" t="inlineStr">
        <is>
          <t>LEIS</t>
        </is>
      </c>
      <c r="F19" s="31" t="inlineStr">
        <is>
          <t>ZZE0</t>
        </is>
      </c>
      <c r="G19" s="0" t="n"/>
      <c r="H19" s="0" t="n"/>
      <c r="I19" s="0" t="inlineStr">
        <is>
          <t>E01,D2*,D81,E2*,E31,E51,E6*,E73,E81,E9*,F01,F1*,G1*,H41,I21,I31,I41</t>
        </is>
      </c>
      <c r="J19" s="0" t="n"/>
      <c r="K19" s="0" t="inlineStr">
        <is>
          <t>CREATE</t>
        </is>
      </c>
      <c r="L19" s="47" t="inlineStr">
        <is>
          <t>MAT 18</t>
        </is>
      </c>
      <c r="M19" s="16" t="inlineStr">
        <is>
          <t>DES 18</t>
        </is>
      </c>
      <c r="N19" s="0" t="n"/>
      <c r="O19" s="0" t="n"/>
      <c r="P19" s="45" t="n">
        <v>50</v>
      </c>
      <c r="Q19" s="46" t="inlineStr">
        <is>
          <t>MG 18</t>
        </is>
      </c>
      <c r="R19" s="46" t="inlineStr">
        <is>
          <t>PH 18</t>
        </is>
      </c>
      <c r="S19" s="0" t="n"/>
      <c r="T19" s="0" t="n"/>
      <c r="U19" s="0" t="n"/>
      <c r="V19" s="0" t="n"/>
      <c r="W19" s="47">
        <f>L19</f>
        <v/>
      </c>
      <c r="X19" s="45" t="inlineStr">
        <is>
          <t>MGP 18</t>
        </is>
      </c>
      <c r="Y19" s="45" t="n">
        <v>18</v>
      </c>
      <c r="Z19" s="0" t="n"/>
      <c r="AA19" t="inlineStr">
        <is>
          <t> </t>
        </is>
      </c>
      <c r="AB19" s="45" t="n">
        <v>1</v>
      </c>
      <c r="AC19" s="45" t="n">
        <v>1</v>
      </c>
      <c r="AD19" s="45" t="n">
        <v>1</v>
      </c>
      <c r="AE19" s="0" t="n"/>
      <c r="AF19" s="0" t="n"/>
      <c r="AG19" s="0" t="n"/>
      <c r="AH19" s="0" t="n"/>
      <c r="AI19" s="0" t="n"/>
      <c r="AJ19" s="12">
        <f>MID(L19,AL19,1)</f>
        <v/>
      </c>
      <c r="AK19" s="29">
        <f>EXACT(MID(L19,1,5),"ZWMPS")</f>
        <v/>
      </c>
      <c r="AL19" s="12">
        <f>LEN(L19)</f>
        <v/>
      </c>
      <c r="AM19" s="12">
        <f>LEN(M19)</f>
        <v/>
      </c>
    </row>
    <row r="20" ht="15.9" customHeight="1" s="1">
      <c r="A20" s="0" t="inlineStr">
        <is>
          <t>Ian Thomasson</t>
        </is>
      </c>
      <c r="B20" t="inlineStr">
        <is>
          <t>SD 19</t>
        </is>
      </c>
      <c r="C20" s="0" t="inlineStr">
        <is>
          <t>COP</t>
        </is>
      </c>
      <c r="D20" s="0" t="inlineStr">
        <is>
          <t>ZBR3</t>
        </is>
      </c>
      <c r="E20" s="0" t="inlineStr">
        <is>
          <t>LEIS</t>
        </is>
      </c>
      <c r="F20" s="31" t="inlineStr">
        <is>
          <t>ZZE0</t>
        </is>
      </c>
      <c r="G20" s="0" t="n"/>
      <c r="H20" s="0" t="n"/>
      <c r="I20" s="0" t="inlineStr">
        <is>
          <t>E01,D2*,D81,E2*,E31,E51,E6*,E73,E81,E9*,F01,F1*,G1*,H41,I21,I31,I41</t>
        </is>
      </c>
      <c r="J20" s="0" t="n"/>
      <c r="K20" s="0" t="inlineStr">
        <is>
          <t>CREATE</t>
        </is>
      </c>
      <c r="L20" s="47" t="inlineStr">
        <is>
          <t>MAT 19</t>
        </is>
      </c>
      <c r="M20" s="16" t="inlineStr">
        <is>
          <t>DES 19</t>
        </is>
      </c>
      <c r="N20" s="0" t="n"/>
      <c r="O20" s="0" t="n"/>
      <c r="P20" s="45" t="n">
        <v>50</v>
      </c>
      <c r="Q20" s="46" t="inlineStr">
        <is>
          <t>MG 19</t>
        </is>
      </c>
      <c r="R20" s="46" t="inlineStr">
        <is>
          <t>PH 19</t>
        </is>
      </c>
      <c r="S20" s="0" t="n"/>
      <c r="T20" s="0" t="n"/>
      <c r="U20" s="0" t="n"/>
      <c r="V20" s="0" t="n"/>
      <c r="W20" s="47">
        <f>L20</f>
        <v/>
      </c>
      <c r="X20" s="45" t="inlineStr">
        <is>
          <t>MGP 19</t>
        </is>
      </c>
      <c r="Y20" s="45" t="n">
        <v>19</v>
      </c>
      <c r="Z20" s="0" t="n"/>
      <c r="AA20" t="inlineStr">
        <is>
          <t> </t>
        </is>
      </c>
      <c r="AB20" s="45" t="n">
        <v>1</v>
      </c>
      <c r="AC20" s="45" t="n">
        <v>1</v>
      </c>
      <c r="AD20" s="45" t="n">
        <v>1</v>
      </c>
      <c r="AE20" s="0" t="n"/>
      <c r="AF20" s="0" t="n"/>
      <c r="AG20" s="0" t="n"/>
      <c r="AH20" s="0" t="n"/>
      <c r="AI20" s="0" t="n"/>
      <c r="AJ20" s="12">
        <f>MID(L20,AL20,1)</f>
        <v/>
      </c>
      <c r="AK20" s="29">
        <f>EXACT(MID(L20,1,5),"ZWMPS")</f>
        <v/>
      </c>
      <c r="AL20" s="12">
        <f>LEN(L20)</f>
        <v/>
      </c>
      <c r="AM20" s="12">
        <f>LEN(M20)</f>
        <v/>
      </c>
    </row>
    <row r="21" ht="15.9" customHeight="1" s="1">
      <c r="A21" s="0" t="inlineStr">
        <is>
          <t>Ian Thomasson</t>
        </is>
      </c>
      <c r="B21" t="inlineStr">
        <is>
          <t>SD 20</t>
        </is>
      </c>
      <c r="C21" s="0" t="inlineStr">
        <is>
          <t>COP</t>
        </is>
      </c>
      <c r="D21" s="0" t="inlineStr">
        <is>
          <t>ZBR3</t>
        </is>
      </c>
      <c r="E21" s="0" t="inlineStr">
        <is>
          <t>LEIS</t>
        </is>
      </c>
      <c r="F21" s="31" t="inlineStr">
        <is>
          <t>ZZE0</t>
        </is>
      </c>
      <c r="G21" s="0" t="n"/>
      <c r="H21" s="0" t="n"/>
      <c r="I21" s="0" t="inlineStr">
        <is>
          <t>E01,D2*,D81,E2*,E31,E51,E6*,E73,E81,E9*,F01,F1*,G1*,H41,I21,I31,I41</t>
        </is>
      </c>
      <c r="J21" s="0" t="n"/>
      <c r="K21" s="0" t="inlineStr">
        <is>
          <t>CREATE</t>
        </is>
      </c>
      <c r="L21" s="47" t="inlineStr">
        <is>
          <t>MAT 20</t>
        </is>
      </c>
      <c r="M21" s="16" t="inlineStr">
        <is>
          <t>DES 20</t>
        </is>
      </c>
      <c r="N21" s="0" t="n"/>
      <c r="O21" s="0" t="n"/>
      <c r="P21" s="45" t="n">
        <v>50</v>
      </c>
      <c r="Q21" s="46" t="inlineStr">
        <is>
          <t>MG 20</t>
        </is>
      </c>
      <c r="R21" s="46" t="inlineStr">
        <is>
          <t>PH 20</t>
        </is>
      </c>
      <c r="S21" s="0" t="n"/>
      <c r="T21" s="0" t="n"/>
      <c r="U21" s="0" t="n"/>
      <c r="V21" s="0" t="n"/>
      <c r="W21" s="47">
        <f>L21</f>
        <v/>
      </c>
      <c r="X21" s="45" t="inlineStr">
        <is>
          <t>MGP 20</t>
        </is>
      </c>
      <c r="Y21" s="45" t="n">
        <v>20</v>
      </c>
      <c r="Z21" s="0" t="n"/>
      <c r="AA21" t="inlineStr">
        <is>
          <t> </t>
        </is>
      </c>
      <c r="AB21" s="45" t="n">
        <v>1</v>
      </c>
      <c r="AC21" s="45" t="n">
        <v>1</v>
      </c>
      <c r="AD21" s="45" t="n">
        <v>1</v>
      </c>
      <c r="AE21" s="0" t="n"/>
      <c r="AF21" s="0" t="n"/>
      <c r="AG21" s="0" t="n"/>
      <c r="AH21" s="0" t="n"/>
      <c r="AI21" s="0" t="n"/>
      <c r="AJ21" s="12">
        <f>MID(L21,AL21,1)</f>
        <v/>
      </c>
      <c r="AK21" s="29">
        <f>EXACT(MID(L17,1,5),"ZWMPS")</f>
        <v/>
      </c>
      <c r="AL21" s="12">
        <f>LEN(L17)</f>
        <v/>
      </c>
      <c r="AM21" s="12">
        <f>LEN(M17)</f>
        <v/>
      </c>
    </row>
    <row r="22" ht="15.9" customHeight="1" s="1">
      <c r="A22" s="0" t="inlineStr">
        <is>
          <t>Ian Thomasson</t>
        </is>
      </c>
      <c r="B22" t="inlineStr">
        <is>
          <t>SD 21</t>
        </is>
      </c>
      <c r="C22" s="0" t="inlineStr">
        <is>
          <t>COP</t>
        </is>
      </c>
      <c r="D22" s="0" t="inlineStr">
        <is>
          <t>ZBR3</t>
        </is>
      </c>
      <c r="E22" s="0" t="inlineStr">
        <is>
          <t>LEIS</t>
        </is>
      </c>
      <c r="F22" s="31" t="inlineStr">
        <is>
          <t>ZZE0</t>
        </is>
      </c>
      <c r="G22" s="0" t="n"/>
      <c r="H22" s="0" t="n"/>
      <c r="I22" s="0" t="inlineStr">
        <is>
          <t>E01,D2*,D81,E2*,E31,E51,E6*,E73,E81,E9*,F01,F1*,G1*,H41,I21,I31,I41</t>
        </is>
      </c>
      <c r="J22" s="0" t="n"/>
      <c r="K22" s="0" t="inlineStr">
        <is>
          <t>CREATE</t>
        </is>
      </c>
      <c r="L22" s="47" t="inlineStr">
        <is>
          <t>MAT 21</t>
        </is>
      </c>
      <c r="M22" s="16" t="inlineStr">
        <is>
          <t>DES 21</t>
        </is>
      </c>
      <c r="N22" s="0" t="n"/>
      <c r="O22" s="0" t="n"/>
      <c r="P22" s="45" t="n">
        <v>50</v>
      </c>
      <c r="Q22" s="46" t="inlineStr">
        <is>
          <t>MG 21</t>
        </is>
      </c>
      <c r="R22" s="46" t="inlineStr">
        <is>
          <t>PH 21</t>
        </is>
      </c>
      <c r="S22" s="0" t="n"/>
      <c r="T22" s="0" t="n"/>
      <c r="U22" s="0" t="n"/>
      <c r="V22" s="0" t="n"/>
      <c r="W22" s="47">
        <f>L22</f>
        <v/>
      </c>
      <c r="X22" s="45" t="inlineStr">
        <is>
          <t>MGP 21</t>
        </is>
      </c>
      <c r="Y22" s="45" t="n">
        <v>21</v>
      </c>
      <c r="Z22" s="0" t="n"/>
      <c r="AA22" t="inlineStr">
        <is>
          <t> </t>
        </is>
      </c>
      <c r="AB22" s="45" t="n">
        <v>1</v>
      </c>
      <c r="AC22" s="45" t="n">
        <v>1</v>
      </c>
      <c r="AD22" s="45" t="n">
        <v>1</v>
      </c>
      <c r="AE22" s="0" t="n"/>
      <c r="AF22" s="0" t="n"/>
      <c r="AG22" s="0" t="n"/>
      <c r="AH22" s="0" t="n"/>
      <c r="AI22" s="0" t="n"/>
      <c r="AJ22" s="12">
        <f>MID(L22,AL22,1)</f>
        <v/>
      </c>
      <c r="AK22" s="29">
        <f>EXACT(MID(L22,1,5),"ZWMPS")</f>
        <v/>
      </c>
      <c r="AL22" s="12">
        <f>LEN(L22)</f>
        <v/>
      </c>
      <c r="AM22" s="12">
        <f>LEN(M22)</f>
        <v/>
      </c>
    </row>
    <row r="23" ht="15.9" customHeight="1" s="1">
      <c r="A23" s="0" t="inlineStr">
        <is>
          <t>Ian Thomasson</t>
        </is>
      </c>
      <c r="B23" t="inlineStr">
        <is>
          <t>SD 22</t>
        </is>
      </c>
      <c r="C23" s="0" t="inlineStr">
        <is>
          <t>COP</t>
        </is>
      </c>
      <c r="D23" s="0" t="inlineStr">
        <is>
          <t>ZBR3</t>
        </is>
      </c>
      <c r="E23" s="0" t="inlineStr">
        <is>
          <t>LEIS</t>
        </is>
      </c>
      <c r="F23" s="0" t="inlineStr">
        <is>
          <t>ZZE0</t>
        </is>
      </c>
      <c r="G23" s="0" t="n"/>
      <c r="H23" s="0" t="n"/>
      <c r="I23" s="0" t="inlineStr">
        <is>
          <t>E01,D2*,D81,E2*,E31,E51,E6*,E73,E81,E9*,F01,F1*,G1*,H41,I21,I31,I41</t>
        </is>
      </c>
      <c r="J23" s="0" t="n"/>
      <c r="K23" s="0" t="inlineStr">
        <is>
          <t>CREATE</t>
        </is>
      </c>
      <c r="L23" s="47" t="inlineStr">
        <is>
          <t>MAT 22</t>
        </is>
      </c>
      <c r="M23" s="16" t="inlineStr">
        <is>
          <t>DES 22</t>
        </is>
      </c>
      <c r="N23" s="0" t="n"/>
      <c r="O23" s="0" t="n"/>
      <c r="P23" s="45" t="n">
        <v>50</v>
      </c>
      <c r="Q23" s="46" t="inlineStr">
        <is>
          <t>MG 22</t>
        </is>
      </c>
      <c r="R23" s="46" t="inlineStr">
        <is>
          <t>PH 22</t>
        </is>
      </c>
      <c r="S23" s="0" t="n"/>
      <c r="T23" s="0" t="n"/>
      <c r="U23" s="0" t="n"/>
      <c r="V23" s="0" t="n"/>
      <c r="W23" s="47">
        <f>L23</f>
        <v/>
      </c>
      <c r="X23" s="45" t="inlineStr">
        <is>
          <t>MGP 22</t>
        </is>
      </c>
      <c r="Y23" s="45" t="n">
        <v>22</v>
      </c>
      <c r="Z23" s="0" t="n"/>
      <c r="AA23" t="inlineStr">
        <is>
          <t> </t>
        </is>
      </c>
      <c r="AB23" s="45" t="n">
        <v>1</v>
      </c>
      <c r="AC23" s="45" t="n">
        <v>1</v>
      </c>
      <c r="AD23" s="45" t="n">
        <v>1</v>
      </c>
      <c r="AE23" s="0" t="n"/>
      <c r="AF23" s="0" t="n"/>
      <c r="AG23" s="0" t="n"/>
      <c r="AH23" s="0" t="n"/>
      <c r="AI23" s="0" t="n"/>
      <c r="AJ23" s="12">
        <f>MID(L23,AL23,1)</f>
        <v/>
      </c>
      <c r="AK23" s="29">
        <f>EXACT(MID(L23,1,5),"ZWMPS")</f>
        <v/>
      </c>
      <c r="AL23" s="12">
        <f>LEN(L23)</f>
        <v/>
      </c>
      <c r="AM23" s="12">
        <f>LEN(M23)</f>
        <v/>
      </c>
    </row>
    <row r="24" ht="15.9" customHeight="1" s="1">
      <c r="A24" s="0" t="inlineStr">
        <is>
          <t>Ian Thomasson</t>
        </is>
      </c>
      <c r="B24" t="inlineStr">
        <is>
          <t>SD 23</t>
        </is>
      </c>
      <c r="C24" s="0" t="inlineStr">
        <is>
          <t>COP</t>
        </is>
      </c>
      <c r="D24" s="0" t="inlineStr">
        <is>
          <t>ZBR3</t>
        </is>
      </c>
      <c r="E24" s="0" t="inlineStr">
        <is>
          <t>LEIS</t>
        </is>
      </c>
      <c r="F24" s="0" t="inlineStr">
        <is>
          <t>ZZE0</t>
        </is>
      </c>
      <c r="G24" s="0" t="n"/>
      <c r="H24" s="0" t="n"/>
      <c r="I24" s="0" t="inlineStr">
        <is>
          <t>E01,D2*,D81,E2*,E31,E51,E6*,E73,E81,E9*,F01,F1*,G1*,H41,I21,I31,I41</t>
        </is>
      </c>
      <c r="J24" s="0" t="n"/>
      <c r="K24" s="0" t="inlineStr">
        <is>
          <t>CREATE</t>
        </is>
      </c>
      <c r="L24" s="47" t="inlineStr">
        <is>
          <t>MAT 23</t>
        </is>
      </c>
      <c r="M24" s="16" t="inlineStr">
        <is>
          <t>DES 23</t>
        </is>
      </c>
      <c r="N24" s="0" t="n"/>
      <c r="O24" s="0" t="n"/>
      <c r="P24" s="45" t="n">
        <v>50</v>
      </c>
      <c r="Q24" s="46" t="inlineStr">
        <is>
          <t>MG 23</t>
        </is>
      </c>
      <c r="R24" s="46" t="inlineStr">
        <is>
          <t>PH 23</t>
        </is>
      </c>
      <c r="S24" s="0" t="n"/>
      <c r="T24" s="0" t="n"/>
      <c r="U24" s="0" t="n"/>
      <c r="V24" s="0" t="n"/>
      <c r="W24" s="47">
        <f>L24</f>
        <v/>
      </c>
      <c r="X24" s="45" t="inlineStr">
        <is>
          <t>MGP 23</t>
        </is>
      </c>
      <c r="Y24" s="45" t="n">
        <v>23</v>
      </c>
      <c r="Z24" s="0" t="n"/>
      <c r="AA24" t="inlineStr">
        <is>
          <t> </t>
        </is>
      </c>
      <c r="AB24" s="45" t="n">
        <v>1</v>
      </c>
      <c r="AC24" s="45" t="n">
        <v>1</v>
      </c>
      <c r="AD24" s="45" t="n">
        <v>1</v>
      </c>
      <c r="AE24" s="0" t="n"/>
      <c r="AF24" s="0" t="n"/>
      <c r="AG24" s="0" t="n"/>
      <c r="AH24" s="0" t="n"/>
      <c r="AI24" s="0" t="n"/>
      <c r="AJ24" s="12">
        <f>MID(L24,AL24,1)</f>
        <v/>
      </c>
      <c r="AK24" s="29">
        <f>EXACT(MID(L24,1,5),"ZWMPS")</f>
        <v/>
      </c>
      <c r="AL24" s="12">
        <f>LEN(L24)</f>
        <v/>
      </c>
      <c r="AM24" s="12">
        <f>LEN(M24)</f>
        <v/>
      </c>
    </row>
    <row r="25" ht="15.9" customHeight="1" s="1">
      <c r="A25" s="0" t="inlineStr">
        <is>
          <t>Ian Thomasson</t>
        </is>
      </c>
      <c r="B25" t="inlineStr">
        <is>
          <t>SD 24</t>
        </is>
      </c>
      <c r="C25" s="0" t="inlineStr">
        <is>
          <t>COP</t>
        </is>
      </c>
      <c r="D25" s="0" t="inlineStr">
        <is>
          <t>ZBR3</t>
        </is>
      </c>
      <c r="E25" s="0" t="inlineStr">
        <is>
          <t>LEIS</t>
        </is>
      </c>
      <c r="F25" s="0" t="inlineStr">
        <is>
          <t>ZZE0</t>
        </is>
      </c>
      <c r="G25" s="0" t="n"/>
      <c r="H25" s="0" t="n"/>
      <c r="I25" s="0" t="inlineStr">
        <is>
          <t>E01,D2*,D81,E2*,E31,E51,E6*,E73,E81,E9*,F01,F1*,G1*,H41,I21,I31,I41</t>
        </is>
      </c>
      <c r="J25" s="0" t="n"/>
      <c r="K25" s="0" t="inlineStr">
        <is>
          <t>CREATE</t>
        </is>
      </c>
      <c r="L25" s="47" t="inlineStr">
        <is>
          <t>MAT 24</t>
        </is>
      </c>
      <c r="M25" s="16" t="inlineStr">
        <is>
          <t>DES 24</t>
        </is>
      </c>
      <c r="N25" s="0" t="n"/>
      <c r="O25" s="0" t="n"/>
      <c r="P25" s="45" t="n">
        <v>50</v>
      </c>
      <c r="Q25" s="46" t="inlineStr">
        <is>
          <t>MG 24</t>
        </is>
      </c>
      <c r="R25" s="46" t="inlineStr">
        <is>
          <t>PH 24</t>
        </is>
      </c>
      <c r="S25" s="0" t="n"/>
      <c r="T25" s="0" t="n"/>
      <c r="U25" s="0" t="n"/>
      <c r="V25" s="0" t="n"/>
      <c r="W25" s="47">
        <f>L25</f>
        <v/>
      </c>
      <c r="X25" s="45" t="inlineStr">
        <is>
          <t>MGP 24</t>
        </is>
      </c>
      <c r="Y25" s="45" t="n">
        <v>24</v>
      </c>
      <c r="Z25" s="0" t="n"/>
      <c r="AA25" t="inlineStr">
        <is>
          <t> </t>
        </is>
      </c>
      <c r="AB25" s="45" t="n">
        <v>1</v>
      </c>
      <c r="AC25" s="45" t="n">
        <v>1</v>
      </c>
      <c r="AD25" s="45" t="n">
        <v>1</v>
      </c>
      <c r="AE25" s="0" t="n"/>
      <c r="AF25" s="0" t="n"/>
      <c r="AG25" s="0" t="n"/>
      <c r="AH25" s="0" t="n"/>
      <c r="AI25" s="0" t="n"/>
      <c r="AJ25" s="12">
        <f>MID(L25,AL25,1)</f>
        <v/>
      </c>
      <c r="AK25" s="29">
        <f>EXACT(MID(L25,1,5),"ZWMPS")</f>
        <v/>
      </c>
      <c r="AL25" s="12">
        <f>LEN(L25)</f>
        <v/>
      </c>
      <c r="AM25" s="12">
        <f>LEN(M25)</f>
        <v/>
      </c>
    </row>
    <row r="26" ht="15.9" customHeight="1" s="1">
      <c r="A26" s="0" t="n"/>
      <c r="B26" s="0" t="n"/>
      <c r="C26" s="0" t="n"/>
      <c r="D26" s="0" t="n"/>
      <c r="E26" s="0" t="n"/>
      <c r="F26" s="0" t="n"/>
      <c r="G26" s="0" t="n"/>
      <c r="H26" s="0" t="n"/>
      <c r="I26" s="0" t="n"/>
      <c r="J26" s="0" t="n"/>
      <c r="K26" s="0" t="n"/>
      <c r="L26" s="47" t="inlineStr">
        <is>
          <t>MAT 25</t>
        </is>
      </c>
      <c r="M26" s="16" t="inlineStr">
        <is>
          <t>DES 25</t>
        </is>
      </c>
      <c r="N26" s="0" t="n"/>
      <c r="O26" s="0" t="n"/>
      <c r="P26" s="0" t="n"/>
      <c r="Q26" s="22" t="n"/>
      <c r="S26" s="0" t="n"/>
      <c r="T26" s="0" t="n"/>
      <c r="U26" s="0" t="n"/>
      <c r="V26" s="0" t="n"/>
      <c r="W26" s="47">
        <f>L26</f>
        <v/>
      </c>
      <c r="X26" s="45" t="inlineStr">
        <is>
          <t>MGP 25</t>
        </is>
      </c>
      <c r="Y26" s="45" t="n">
        <v>25</v>
      </c>
      <c r="Z26" s="0" t="n"/>
      <c r="AA26" t="inlineStr">
        <is>
          <t> </t>
        </is>
      </c>
      <c r="AB26" s="0" t="n"/>
      <c r="AC26" s="0" t="n"/>
      <c r="AD26" s="0" t="n"/>
      <c r="AE26" s="0" t="n"/>
      <c r="AF26" s="0" t="n"/>
      <c r="AG26" s="0" t="n"/>
      <c r="AH26" s="0" t="n"/>
      <c r="AI26" s="0" t="n"/>
    </row>
    <row r="27" ht="15.9" customHeight="1" s="1">
      <c r="A27" s="0" t="n"/>
      <c r="B27" s="6" t="inlineStr">
        <is>
          <t>Add language Descriptions manually after creation</t>
        </is>
      </c>
      <c r="C27" s="0" t="n"/>
      <c r="D27" s="0" t="n"/>
      <c r="E27" s="0" t="n"/>
      <c r="F27" s="0" t="n"/>
      <c r="G27" s="0" t="n"/>
      <c r="H27" s="0" t="n"/>
      <c r="I27" s="0" t="n"/>
      <c r="J27" s="0" t="n"/>
      <c r="K27" s="0" t="n"/>
      <c r="L27" s="47" t="inlineStr">
        <is>
          <t>MAT 26</t>
        </is>
      </c>
      <c r="M27" s="16" t="inlineStr">
        <is>
          <t>DES 26</t>
        </is>
      </c>
      <c r="N27" s="0" t="n"/>
      <c r="O27" s="0" t="n"/>
      <c r="P27" s="0" t="n"/>
      <c r="Q27" s="22" t="n"/>
      <c r="S27" s="0" t="n"/>
      <c r="T27" s="0" t="n"/>
      <c r="U27" s="0" t="n"/>
      <c r="V27" s="0" t="n"/>
      <c r="W27" s="47">
        <f>L27</f>
        <v/>
      </c>
      <c r="X27" s="45" t="inlineStr">
        <is>
          <t>MGP 26</t>
        </is>
      </c>
      <c r="Y27" s="45" t="n">
        <v>26</v>
      </c>
      <c r="Z27" s="0" t="n"/>
      <c r="AA27" t="inlineStr">
        <is>
          <t> </t>
        </is>
      </c>
      <c r="AB27" s="0" t="n"/>
      <c r="AC27" s="0" t="n"/>
      <c r="AD27" s="0" t="n"/>
      <c r="AE27" s="0" t="n"/>
      <c r="AF27" s="0" t="n"/>
      <c r="AG27" s="0" t="n"/>
      <c r="AH27" s="0" t="n"/>
      <c r="AI27" s="0" t="n"/>
    </row>
    <row r="28" ht="15.9" customHeight="1" s="1">
      <c r="A28" s="0" t="n"/>
      <c r="B28" s="0" t="n"/>
      <c r="C28" s="0" t="n"/>
      <c r="D28" s="0" t="n"/>
      <c r="E28" s="0" t="n"/>
      <c r="F28" s="0" t="n"/>
      <c r="G28" s="0" t="n"/>
      <c r="H28" s="0" t="n"/>
      <c r="I28" s="0" t="n"/>
      <c r="J28" s="0" t="n"/>
      <c r="K28" s="0" t="n"/>
      <c r="L28" s="47" t="inlineStr">
        <is>
          <t>MAT 27</t>
        </is>
      </c>
      <c r="M28" s="16" t="inlineStr">
        <is>
          <t>DES 27</t>
        </is>
      </c>
      <c r="N28" s="0" t="n"/>
      <c r="O28" s="0" t="n"/>
      <c r="P28" s="0" t="n"/>
      <c r="Q28" s="22" t="n"/>
      <c r="S28" s="0" t="n"/>
      <c r="T28" s="0" t="n"/>
      <c r="U28" s="0" t="n"/>
      <c r="V28" s="0" t="n"/>
      <c r="W28" s="47">
        <f>L28</f>
        <v/>
      </c>
      <c r="X28" s="45" t="inlineStr">
        <is>
          <t>MGP 27</t>
        </is>
      </c>
      <c r="Y28" s="45" t="n">
        <v>27</v>
      </c>
      <c r="Z28" s="0" t="n"/>
      <c r="AA28" t="inlineStr">
        <is>
          <t> </t>
        </is>
      </c>
      <c r="AB28" s="0" t="n"/>
      <c r="AC28" s="0" t="n"/>
      <c r="AD28" s="0" t="n"/>
      <c r="AE28" s="0" t="n"/>
      <c r="AF28" s="0" t="n"/>
      <c r="AG28" s="0" t="n"/>
      <c r="AH28" s="0" t="n"/>
      <c r="AI28" s="0" t="n"/>
    </row>
    <row r="29" ht="15.9" customHeight="1" s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47" t="inlineStr">
        <is>
          <t>MAT 28</t>
        </is>
      </c>
      <c r="M29" s="16" t="inlineStr">
        <is>
          <t>DES 28</t>
        </is>
      </c>
      <c r="N29" s="2" t="n"/>
      <c r="O29" s="2" t="n"/>
      <c r="P29" s="2" t="n"/>
      <c r="Q29" s="38" t="n"/>
      <c r="S29" s="75" t="n"/>
      <c r="T29" s="75" t="n"/>
      <c r="U29" s="75" t="n"/>
      <c r="V29" s="2" t="n"/>
      <c r="W29" s="47">
        <f>L29</f>
        <v/>
      </c>
      <c r="X29" s="45" t="inlineStr">
        <is>
          <t>MGP 28</t>
        </is>
      </c>
      <c r="Y29" s="45" t="n">
        <v>28</v>
      </c>
      <c r="Z29" s="2" t="n"/>
      <c r="AA29" t="inlineStr">
        <is>
          <t> </t>
        </is>
      </c>
      <c r="AB29" s="2" t="n"/>
      <c r="AC29" s="2" t="n"/>
      <c r="AD29" s="2" t="n"/>
      <c r="AE29" s="2" t="n"/>
      <c r="AF29" s="2" t="n"/>
      <c r="AG29" s="2" t="n"/>
      <c r="AH29" s="2" t="n"/>
      <c r="AI29" s="2" t="n"/>
    </row>
    <row r="30" ht="15.9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47" t="inlineStr">
        <is>
          <t>MAT 29</t>
        </is>
      </c>
      <c r="M30" s="16" t="inlineStr">
        <is>
          <t>DES 29</t>
        </is>
      </c>
      <c r="N30" s="2" t="n"/>
      <c r="O30" s="2" t="n"/>
      <c r="P30" s="2" t="n"/>
      <c r="Q30" s="38" t="n"/>
      <c r="S30" s="75" t="n"/>
      <c r="T30" s="75" t="n"/>
      <c r="U30" s="75" t="n"/>
      <c r="V30" s="2" t="n"/>
      <c r="W30" s="47">
        <f>L30</f>
        <v/>
      </c>
      <c r="X30" s="45" t="inlineStr">
        <is>
          <t>MGP 29</t>
        </is>
      </c>
      <c r="Y30" s="45" t="n">
        <v>29</v>
      </c>
      <c r="Z30" s="2" t="n"/>
      <c r="AA30" t="inlineStr">
        <is>
          <t> </t>
        </is>
      </c>
      <c r="AB30" s="2" t="n"/>
      <c r="AC30" s="2" t="n"/>
      <c r="AD30" s="2" t="n"/>
      <c r="AE30" s="2" t="n"/>
      <c r="AF30" s="2" t="n"/>
      <c r="AG30" s="2" t="n"/>
      <c r="AH30" s="2" t="n"/>
      <c r="AI30" s="2" t="n"/>
    </row>
    <row r="31" ht="15.9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47" t="inlineStr">
        <is>
          <t>MAT 30</t>
        </is>
      </c>
      <c r="M31" s="16" t="inlineStr">
        <is>
          <t>DES 30</t>
        </is>
      </c>
      <c r="N31" s="2" t="n"/>
      <c r="O31" s="2" t="n"/>
      <c r="P31" s="2" t="n"/>
      <c r="Q31" s="38" t="n"/>
      <c r="S31" s="75" t="n"/>
      <c r="T31" s="75" t="n"/>
      <c r="U31" s="75" t="n"/>
      <c r="V31" s="2" t="n"/>
      <c r="W31" s="47">
        <f>L31</f>
        <v/>
      </c>
      <c r="X31" s="45" t="inlineStr">
        <is>
          <t>MGP 30</t>
        </is>
      </c>
      <c r="Y31" s="45" t="n">
        <v>30</v>
      </c>
      <c r="Z31" s="2" t="n"/>
      <c r="AA31" t="inlineStr">
        <is>
          <t> </t>
        </is>
      </c>
      <c r="AB31" s="2" t="n"/>
      <c r="AC31" s="2" t="n"/>
      <c r="AD31" s="2" t="n"/>
      <c r="AE31" s="2" t="n"/>
      <c r="AF31" s="2" t="n"/>
      <c r="AG31" s="2" t="n"/>
      <c r="AH31" s="2" t="n"/>
      <c r="AI31" s="2" t="n"/>
    </row>
    <row r="32" ht="15.9" customHeight="1" s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47" t="inlineStr">
        <is>
          <t>MAT 31</t>
        </is>
      </c>
      <c r="M32" s="16" t="inlineStr">
        <is>
          <t>DES 31</t>
        </is>
      </c>
      <c r="N32" s="2" t="n"/>
      <c r="O32" s="2" t="n"/>
      <c r="P32" s="2" t="n"/>
      <c r="Q32" s="38" t="n"/>
      <c r="S32" s="75" t="n"/>
      <c r="T32" s="75" t="n"/>
      <c r="U32" s="75" t="n"/>
      <c r="V32" s="2" t="n"/>
      <c r="W32" s="47">
        <f>L32</f>
        <v/>
      </c>
      <c r="X32" s="45" t="inlineStr">
        <is>
          <t>MGP 31</t>
        </is>
      </c>
      <c r="Y32" s="45" t="n">
        <v>31</v>
      </c>
      <c r="Z32" s="2" t="n"/>
      <c r="AA32" t="inlineStr">
        <is>
          <t> </t>
        </is>
      </c>
      <c r="AB32" s="2" t="n"/>
      <c r="AC32" s="2" t="n"/>
      <c r="AD32" s="2" t="n"/>
      <c r="AE32" s="2" t="n"/>
      <c r="AF32" s="2" t="n"/>
      <c r="AG32" s="2" t="n"/>
      <c r="AH32" s="2" t="n"/>
      <c r="AI32" s="2" t="n"/>
    </row>
    <row r="33" ht="15.9" customHeight="1" s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47" t="inlineStr">
        <is>
          <t>MAT 32</t>
        </is>
      </c>
      <c r="M33" s="16" t="inlineStr">
        <is>
          <t>DES 32</t>
        </is>
      </c>
      <c r="N33" s="2" t="n"/>
      <c r="O33" s="2" t="n"/>
      <c r="P33" s="2" t="n"/>
      <c r="Q33" s="38" t="n"/>
      <c r="S33" s="75" t="n"/>
      <c r="T33" s="75" t="n"/>
      <c r="U33" s="75" t="n"/>
      <c r="V33" s="2" t="n"/>
      <c r="W33" s="47">
        <f>L33</f>
        <v/>
      </c>
      <c r="X33" s="45" t="inlineStr">
        <is>
          <t>MGP 32</t>
        </is>
      </c>
      <c r="Y33" s="45" t="n">
        <v>32</v>
      </c>
      <c r="Z33" s="2" t="n"/>
      <c r="AA33" t="inlineStr">
        <is>
          <t> </t>
        </is>
      </c>
      <c r="AB33" s="2" t="n"/>
      <c r="AC33" s="2" t="n"/>
      <c r="AD33" s="2" t="n"/>
      <c r="AE33" s="2" t="n"/>
      <c r="AF33" s="2" t="n"/>
      <c r="AG33" s="2" t="n"/>
      <c r="AH33" s="2" t="n"/>
      <c r="AI33" s="2" t="n"/>
    </row>
    <row r="34" ht="15.9" customHeight="1" s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47" t="inlineStr">
        <is>
          <t>MAT 33</t>
        </is>
      </c>
      <c r="M34" s="16" t="inlineStr">
        <is>
          <t>DES 33</t>
        </is>
      </c>
      <c r="N34" s="2" t="n"/>
      <c r="O34" s="2" t="n"/>
      <c r="P34" s="2" t="n"/>
      <c r="Q34" s="38" t="n"/>
      <c r="S34" s="75" t="n"/>
      <c r="T34" s="75" t="n"/>
      <c r="U34" s="75" t="n"/>
      <c r="V34" s="2" t="n"/>
      <c r="W34" s="47">
        <f>L34</f>
        <v/>
      </c>
      <c r="X34" s="45" t="inlineStr">
        <is>
          <t>MGP 33</t>
        </is>
      </c>
      <c r="Y34" s="45" t="n">
        <v>33</v>
      </c>
      <c r="Z34" s="2" t="n"/>
      <c r="AA34" t="inlineStr">
        <is>
          <t> </t>
        </is>
      </c>
      <c r="AB34" s="2" t="n"/>
      <c r="AC34" s="2" t="n"/>
      <c r="AD34" s="2" t="n"/>
      <c r="AE34" s="2" t="n"/>
      <c r="AF34" s="2" t="n"/>
      <c r="AG34" s="2" t="n"/>
      <c r="AH34" s="2" t="n"/>
      <c r="AI34" s="2" t="n"/>
    </row>
    <row r="35" ht="15.9" customHeight="1" s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47" t="inlineStr">
        <is>
          <t>MAT 34</t>
        </is>
      </c>
      <c r="M35" s="16" t="inlineStr">
        <is>
          <t>DES 34</t>
        </is>
      </c>
      <c r="N35" s="2" t="n"/>
      <c r="O35" s="2" t="n"/>
      <c r="P35" s="2" t="n"/>
      <c r="Q35" s="38" t="n"/>
      <c r="S35" s="75" t="n"/>
      <c r="T35" s="75" t="n"/>
      <c r="U35" s="75" t="n"/>
      <c r="V35" s="2" t="n"/>
      <c r="W35" s="47">
        <f>L35</f>
        <v/>
      </c>
      <c r="X35" s="45" t="inlineStr">
        <is>
          <t>MGP 34</t>
        </is>
      </c>
      <c r="Y35" s="45" t="n">
        <v>34</v>
      </c>
      <c r="Z35" s="2" t="n"/>
      <c r="AA35" t="inlineStr">
        <is>
          <t> </t>
        </is>
      </c>
      <c r="AB35" s="2" t="n"/>
      <c r="AC35" s="2" t="n"/>
      <c r="AD35" s="2" t="n"/>
      <c r="AE35" s="2" t="n"/>
      <c r="AF35" s="2" t="n"/>
      <c r="AG35" s="2" t="n"/>
      <c r="AH35" s="2" t="n"/>
      <c r="AI35" s="2" t="n"/>
    </row>
    <row r="36" ht="15.9" customHeight="1" s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47" t="inlineStr">
        <is>
          <t>MAT 35</t>
        </is>
      </c>
      <c r="M36" s="16" t="inlineStr">
        <is>
          <t>DES 35</t>
        </is>
      </c>
      <c r="N36" s="2" t="n"/>
      <c r="O36" s="2" t="n"/>
      <c r="P36" s="2" t="n"/>
      <c r="Q36" s="38" t="n"/>
      <c r="S36" s="75" t="n"/>
      <c r="T36" s="75" t="n"/>
      <c r="U36" s="75" t="n"/>
      <c r="V36" s="2" t="n"/>
      <c r="W36" s="47">
        <f>L36</f>
        <v/>
      </c>
      <c r="X36" s="45" t="inlineStr">
        <is>
          <t>MGP 35</t>
        </is>
      </c>
      <c r="Y36" s="45" t="n">
        <v>35</v>
      </c>
      <c r="Z36" s="2" t="n"/>
      <c r="AA36" t="inlineStr">
        <is>
          <t> </t>
        </is>
      </c>
      <c r="AB36" s="2" t="n"/>
      <c r="AC36" s="2" t="n"/>
      <c r="AD36" s="2" t="n"/>
      <c r="AE36" s="2" t="n"/>
      <c r="AF36" s="2" t="n"/>
      <c r="AG36" s="2" t="n"/>
      <c r="AH36" s="2" t="n"/>
      <c r="AI36" s="2" t="n"/>
    </row>
    <row r="37" ht="15.9" customHeight="1" s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47" t="inlineStr">
        <is>
          <t>MAT 36</t>
        </is>
      </c>
      <c r="M37" s="16" t="inlineStr">
        <is>
          <t>DES 36</t>
        </is>
      </c>
      <c r="N37" s="2" t="n"/>
      <c r="O37" s="2" t="n"/>
      <c r="P37" s="2" t="n"/>
      <c r="Q37" s="38" t="n"/>
      <c r="S37" s="75" t="n"/>
      <c r="T37" s="75" t="n"/>
      <c r="U37" s="75" t="n"/>
      <c r="V37" s="2" t="n"/>
      <c r="W37" s="47">
        <f>L37</f>
        <v/>
      </c>
      <c r="X37" s="45" t="inlineStr">
        <is>
          <t>MGP 36</t>
        </is>
      </c>
      <c r="Y37" s="45" t="n">
        <v>36</v>
      </c>
      <c r="Z37" s="2" t="n"/>
      <c r="AA37" t="inlineStr">
        <is>
          <t> </t>
        </is>
      </c>
      <c r="AB37" s="2" t="n"/>
      <c r="AC37" s="2" t="n"/>
      <c r="AD37" s="2" t="n"/>
      <c r="AE37" s="2" t="n"/>
      <c r="AF37" s="2" t="n"/>
      <c r="AG37" s="2" t="n"/>
      <c r="AH37" s="2" t="n"/>
      <c r="AI37" s="2" t="n"/>
    </row>
    <row r="38" ht="15.9" customHeight="1" s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47" t="inlineStr">
        <is>
          <t>MAT 37</t>
        </is>
      </c>
      <c r="M38" s="16" t="inlineStr">
        <is>
          <t>DES 37</t>
        </is>
      </c>
      <c r="N38" s="2" t="n"/>
      <c r="O38" s="2" t="n"/>
      <c r="P38" s="2" t="n"/>
      <c r="Q38" s="38" t="n"/>
      <c r="S38" s="75" t="n"/>
      <c r="T38" s="75" t="n"/>
      <c r="U38" s="75" t="n"/>
      <c r="V38" s="2" t="n"/>
      <c r="W38" s="47">
        <f>L38</f>
        <v/>
      </c>
      <c r="X38" s="45" t="inlineStr">
        <is>
          <t>MGP 37</t>
        </is>
      </c>
      <c r="Y38" s="45" t="n">
        <v>37</v>
      </c>
      <c r="Z38" s="2" t="n"/>
      <c r="AA38" t="inlineStr">
        <is>
          <t> </t>
        </is>
      </c>
      <c r="AB38" s="2" t="n"/>
      <c r="AC38" s="2" t="n"/>
      <c r="AD38" s="2" t="n"/>
      <c r="AE38" s="2" t="n"/>
      <c r="AF38" s="2" t="n"/>
      <c r="AG38" s="2" t="n"/>
      <c r="AH38" s="2" t="n"/>
      <c r="AI38" s="2" t="n"/>
    </row>
    <row r="39" ht="15.9" customHeight="1" s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47" t="inlineStr">
        <is>
          <t>MAT 38</t>
        </is>
      </c>
      <c r="M39" s="16" t="inlineStr">
        <is>
          <t>DES 38</t>
        </is>
      </c>
      <c r="N39" s="2" t="n"/>
      <c r="O39" s="2" t="n"/>
      <c r="P39" s="2" t="n"/>
      <c r="Q39" s="38" t="n"/>
      <c r="S39" s="75" t="n"/>
      <c r="T39" s="75" t="n"/>
      <c r="U39" s="75" t="n"/>
      <c r="V39" s="2" t="n"/>
      <c r="W39" s="47">
        <f>L39</f>
        <v/>
      </c>
      <c r="X39" s="45" t="inlineStr">
        <is>
          <t>MGP 38</t>
        </is>
      </c>
      <c r="Y39" s="45" t="n">
        <v>38</v>
      </c>
      <c r="Z39" s="2" t="n"/>
      <c r="AA39" t="inlineStr">
        <is>
          <t> </t>
        </is>
      </c>
      <c r="AB39" s="2" t="n"/>
      <c r="AC39" s="2" t="n"/>
      <c r="AD39" s="2" t="n"/>
      <c r="AE39" s="2" t="n"/>
      <c r="AF39" s="2" t="n"/>
      <c r="AG39" s="2" t="n"/>
      <c r="AH39" s="2" t="n"/>
      <c r="AI39" s="2" t="n"/>
    </row>
    <row r="40" ht="15.9" customHeight="1" s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47" t="inlineStr">
        <is>
          <t>MAT 39</t>
        </is>
      </c>
      <c r="M40" s="16" t="inlineStr">
        <is>
          <t>DES 39</t>
        </is>
      </c>
      <c r="N40" s="2" t="n"/>
      <c r="O40" s="2" t="n"/>
      <c r="P40" s="2" t="n"/>
      <c r="Q40" s="38" t="n"/>
      <c r="S40" s="75" t="n"/>
      <c r="T40" s="75" t="n"/>
      <c r="U40" s="75" t="n"/>
      <c r="V40" s="2" t="n"/>
      <c r="W40" s="2" t="n"/>
      <c r="X40" s="2" t="n"/>
      <c r="Y40" s="2" t="n"/>
      <c r="Z40" s="2" t="n"/>
      <c r="AA40" t="inlineStr">
        <is>
          <t> </t>
        </is>
      </c>
      <c r="AB40" s="2" t="n"/>
      <c r="AC40" s="2" t="n"/>
      <c r="AD40" s="2" t="n"/>
      <c r="AE40" s="2" t="n"/>
      <c r="AF40" s="2" t="n"/>
      <c r="AG40" s="2" t="n"/>
      <c r="AH40" s="2" t="n"/>
      <c r="AI40" s="2" t="n"/>
    </row>
    <row r="41" ht="15.9" customHeight="1" s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47" t="inlineStr">
        <is>
          <t>MAT 40</t>
        </is>
      </c>
      <c r="M41" s="16" t="inlineStr">
        <is>
          <t>DES 40</t>
        </is>
      </c>
      <c r="N41" s="2" t="n"/>
      <c r="O41" s="2" t="n"/>
      <c r="P41" s="2" t="n"/>
      <c r="Q41" s="38" t="n"/>
      <c r="S41" s="75" t="n"/>
      <c r="T41" s="75" t="n"/>
      <c r="U41" s="75" t="n"/>
      <c r="V41" s="2" t="n"/>
      <c r="W41" s="2" t="n"/>
      <c r="X41" s="2" t="n"/>
      <c r="Y41" s="2" t="n"/>
      <c r="Z41" s="2" t="n"/>
      <c r="AA41" t="inlineStr">
        <is>
          <t> </t>
        </is>
      </c>
      <c r="AB41" s="2" t="n"/>
      <c r="AC41" s="2" t="n"/>
      <c r="AD41" s="2" t="n"/>
      <c r="AE41" s="2" t="n"/>
      <c r="AF41" s="2" t="n"/>
      <c r="AG41" s="2" t="n"/>
      <c r="AH41" s="2" t="n"/>
      <c r="AI41" s="2" t="n"/>
    </row>
    <row r="42" ht="15.9" customHeight="1" s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47" t="inlineStr">
        <is>
          <t>MAT 41</t>
        </is>
      </c>
      <c r="M42" s="16" t="inlineStr">
        <is>
          <t>DES 41</t>
        </is>
      </c>
      <c r="N42" s="2" t="n"/>
      <c r="O42" s="2" t="n"/>
      <c r="P42" s="2" t="n"/>
      <c r="Q42" s="38" t="n"/>
      <c r="S42" s="75" t="n"/>
      <c r="T42" s="75" t="n"/>
      <c r="U42" s="75" t="n"/>
      <c r="V42" s="2" t="n"/>
      <c r="W42" s="2" t="n"/>
      <c r="X42" s="2" t="n"/>
      <c r="Y42" s="2" t="n"/>
      <c r="Z42" s="2" t="n"/>
      <c r="AA42" t="inlineStr">
        <is>
          <t> </t>
        </is>
      </c>
      <c r="AB42" s="2" t="n"/>
      <c r="AC42" s="2" t="n"/>
      <c r="AD42" s="2" t="n"/>
      <c r="AE42" s="2" t="n"/>
      <c r="AF42" s="2" t="n"/>
      <c r="AG42" s="2" t="n"/>
      <c r="AH42" s="2" t="n"/>
      <c r="AI42" s="2" t="n"/>
    </row>
    <row r="43" ht="15.9" customHeight="1" s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47" t="inlineStr">
        <is>
          <t>MAT 42</t>
        </is>
      </c>
      <c r="M43" s="16" t="inlineStr">
        <is>
          <t>DES 42</t>
        </is>
      </c>
      <c r="N43" s="2" t="n"/>
      <c r="O43" s="2" t="n"/>
      <c r="P43" s="2" t="n"/>
      <c r="Q43" s="38" t="n"/>
      <c r="S43" s="75" t="n"/>
      <c r="T43" s="75" t="n"/>
      <c r="U43" s="75" t="n"/>
      <c r="V43" s="2" t="n"/>
      <c r="W43" s="2" t="n"/>
      <c r="X43" s="2" t="n"/>
      <c r="Y43" s="2" t="n"/>
      <c r="Z43" s="2" t="n"/>
      <c r="AA43" t="inlineStr">
        <is>
          <t> </t>
        </is>
      </c>
      <c r="AB43" s="2" t="n"/>
      <c r="AC43" s="2" t="n"/>
      <c r="AD43" s="2" t="n"/>
      <c r="AE43" s="2" t="n"/>
      <c r="AF43" s="2" t="n"/>
      <c r="AG43" s="2" t="n"/>
      <c r="AH43" s="2" t="n"/>
      <c r="AI43" s="2" t="n"/>
    </row>
    <row r="44" ht="15.9" customHeight="1" s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47" t="inlineStr">
        <is>
          <t>MAT 43</t>
        </is>
      </c>
      <c r="M44" s="16" t="inlineStr">
        <is>
          <t>DES 43</t>
        </is>
      </c>
      <c r="N44" s="2" t="n"/>
      <c r="O44" s="2" t="n"/>
      <c r="P44" s="2" t="n"/>
      <c r="Q44" s="38" t="n"/>
      <c r="S44" s="75" t="n"/>
      <c r="T44" s="75" t="n"/>
      <c r="U44" s="75" t="n"/>
      <c r="V44" s="2" t="n"/>
      <c r="W44" s="2" t="n"/>
      <c r="X44" s="2" t="n"/>
      <c r="Y44" s="2" t="n"/>
      <c r="Z44" s="2" t="n"/>
      <c r="AA44" t="inlineStr">
        <is>
          <t> </t>
        </is>
      </c>
      <c r="AB44" s="2" t="n"/>
      <c r="AC44" s="2" t="n"/>
      <c r="AD44" s="2" t="n"/>
      <c r="AE44" s="2" t="n"/>
      <c r="AF44" s="2" t="n"/>
      <c r="AG44" s="2" t="n"/>
      <c r="AH44" s="2" t="n"/>
      <c r="AI44" s="2" t="n"/>
    </row>
    <row r="45" ht="15.9" customHeight="1" s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47" t="inlineStr">
        <is>
          <t>MAT 44</t>
        </is>
      </c>
      <c r="M45" s="16" t="inlineStr">
        <is>
          <t>DES 44</t>
        </is>
      </c>
      <c r="N45" s="2" t="n"/>
      <c r="O45" s="2" t="n"/>
      <c r="P45" s="2" t="n"/>
      <c r="Q45" s="38" t="n"/>
      <c r="S45" s="75" t="n"/>
      <c r="T45" s="75" t="n"/>
      <c r="U45" s="75" t="n"/>
      <c r="V45" s="2" t="n"/>
      <c r="W45" s="2" t="n"/>
      <c r="X45" s="2" t="n"/>
      <c r="Y45" s="2" t="n"/>
      <c r="Z45" s="2" t="n"/>
      <c r="AA45" t="inlineStr">
        <is>
          <t> </t>
        </is>
      </c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 ht="15.9" customHeight="1" s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47" t="inlineStr">
        <is>
          <t>MAT 45</t>
        </is>
      </c>
      <c r="M46" s="16" t="inlineStr">
        <is>
          <t>DES 45</t>
        </is>
      </c>
      <c r="N46" s="2" t="n"/>
      <c r="O46" s="2" t="n"/>
      <c r="P46" s="2" t="n"/>
      <c r="Q46" s="38" t="n"/>
      <c r="S46" s="75" t="n"/>
      <c r="T46" s="75" t="n"/>
      <c r="U46" s="75" t="n"/>
      <c r="V46" s="2" t="n"/>
      <c r="W46" s="2" t="n"/>
      <c r="X46" s="2" t="n"/>
      <c r="Y46" s="2" t="n"/>
      <c r="Z46" s="2" t="n"/>
      <c r="AA46" t="inlineStr">
        <is>
          <t> </t>
        </is>
      </c>
      <c r="AB46" s="2" t="n"/>
      <c r="AC46" s="2" t="n"/>
      <c r="AD46" s="2" t="n"/>
      <c r="AE46" s="2" t="n"/>
      <c r="AF46" s="2" t="n"/>
      <c r="AG46" s="2" t="n"/>
      <c r="AH46" s="2" t="n"/>
      <c r="AI46" s="2" t="n"/>
    </row>
    <row r="47" ht="15.9" customHeight="1" s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47" t="inlineStr">
        <is>
          <t>MAT46</t>
        </is>
      </c>
      <c r="M47" s="16" t="inlineStr">
        <is>
          <t>DES 46</t>
        </is>
      </c>
      <c r="N47" s="2" t="n"/>
      <c r="O47" s="2" t="n"/>
      <c r="P47" s="2" t="n"/>
      <c r="Q47" s="38" t="n"/>
      <c r="S47" s="75" t="n"/>
      <c r="T47" s="75" t="n"/>
      <c r="U47" s="75" t="n"/>
      <c r="V47" s="2" t="n"/>
      <c r="W47" s="2" t="n"/>
      <c r="X47" s="2" t="n"/>
      <c r="Y47" s="2" t="n"/>
      <c r="Z47" s="2" t="n"/>
      <c r="AA47" t="inlineStr">
        <is>
          <t> </t>
        </is>
      </c>
      <c r="AB47" s="2" t="n"/>
      <c r="AC47" s="2" t="n"/>
      <c r="AD47" s="2" t="n"/>
      <c r="AE47" s="2" t="n"/>
      <c r="AF47" s="2" t="n"/>
      <c r="AG47" s="2" t="n"/>
      <c r="AH47" s="2" t="n"/>
      <c r="AI47" s="2" t="n"/>
    </row>
    <row r="48" ht="15.9" customHeight="1" s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47" t="inlineStr">
        <is>
          <t>MAT47</t>
        </is>
      </c>
      <c r="M48" s="16" t="inlineStr">
        <is>
          <t>DES 47</t>
        </is>
      </c>
      <c r="N48" s="2" t="n"/>
      <c r="O48" s="2" t="n"/>
      <c r="P48" s="2" t="n"/>
      <c r="Q48" s="38" t="n"/>
      <c r="S48" s="75" t="n"/>
      <c r="T48" s="75" t="n"/>
      <c r="U48" s="75" t="n"/>
      <c r="V48" s="2" t="n"/>
      <c r="W48" s="2" t="n"/>
      <c r="X48" s="2" t="n"/>
      <c r="Y48" s="2" t="n"/>
      <c r="Z48" s="2" t="n"/>
      <c r="AA48" t="inlineStr">
        <is>
          <t> </t>
        </is>
      </c>
      <c r="AB48" s="2" t="n"/>
      <c r="AC48" s="2" t="n"/>
      <c r="AD48" s="2" t="n"/>
      <c r="AE48" s="2" t="n"/>
      <c r="AF48" s="2" t="n"/>
      <c r="AG48" s="2" t="n"/>
      <c r="AH48" s="2" t="n"/>
      <c r="AI48" s="2" t="n"/>
    </row>
    <row r="49" ht="15.9" customHeight="1" s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47" t="inlineStr">
        <is>
          <t>MAT48</t>
        </is>
      </c>
      <c r="M49" s="16" t="inlineStr">
        <is>
          <t>DES 48</t>
        </is>
      </c>
      <c r="N49" s="2" t="n"/>
      <c r="O49" s="2" t="n"/>
      <c r="P49" s="2" t="n"/>
      <c r="Q49" s="38" t="n"/>
      <c r="S49" s="75" t="n"/>
      <c r="T49" s="75" t="n"/>
      <c r="U49" s="75" t="n"/>
      <c r="V49" s="2" t="n"/>
      <c r="W49" s="2" t="n"/>
      <c r="X49" s="2" t="n"/>
      <c r="Y49" s="2" t="n"/>
      <c r="Z49" s="2" t="n"/>
      <c r="AA49" t="inlineStr">
        <is>
          <t> </t>
        </is>
      </c>
      <c r="AB49" s="2" t="n"/>
      <c r="AC49" s="2" t="n"/>
      <c r="AD49" s="2" t="n"/>
      <c r="AE49" s="2" t="n"/>
      <c r="AF49" s="2" t="n"/>
      <c r="AG49" s="2" t="n"/>
      <c r="AH49" s="2" t="n"/>
      <c r="AI49" s="2" t="n"/>
    </row>
    <row r="50" ht="15.9" customHeight="1" s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47" t="inlineStr">
        <is>
          <t>MAT49</t>
        </is>
      </c>
      <c r="M50" s="16" t="inlineStr">
        <is>
          <t>DES 49</t>
        </is>
      </c>
      <c r="N50" s="2" t="n"/>
      <c r="O50" s="2" t="n"/>
      <c r="P50" s="2" t="n"/>
      <c r="Q50" s="38" t="n"/>
      <c r="S50" s="75" t="n"/>
      <c r="T50" s="75" t="n"/>
      <c r="U50" s="75" t="n"/>
      <c r="V50" s="2" t="n"/>
      <c r="W50" s="2" t="n"/>
      <c r="X50" s="2" t="n"/>
      <c r="Y50" s="2" t="n"/>
      <c r="Z50" s="2" t="n"/>
      <c r="AA50" t="inlineStr">
        <is>
          <t> </t>
        </is>
      </c>
      <c r="AB50" s="2" t="n"/>
      <c r="AC50" s="2" t="n"/>
      <c r="AD50" s="2" t="n"/>
      <c r="AE50" s="2" t="n"/>
      <c r="AF50" s="2" t="n"/>
      <c r="AG50" s="2" t="n"/>
      <c r="AH50" s="2" t="n"/>
      <c r="AI50" s="2" t="n"/>
    </row>
    <row r="51" ht="15.9" customHeight="1" s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47" t="inlineStr">
        <is>
          <t>MAT50</t>
        </is>
      </c>
      <c r="M51" s="2" t="n"/>
      <c r="N51" s="2" t="n"/>
      <c r="O51" s="2" t="n"/>
      <c r="P51" s="2" t="n"/>
      <c r="Q51" s="38" t="n"/>
      <c r="S51" s="75" t="n"/>
      <c r="T51" s="75" t="n"/>
      <c r="U51" s="75" t="n"/>
      <c r="V51" s="2" t="n"/>
      <c r="W51" s="2" t="n"/>
      <c r="X51" s="2" t="n"/>
      <c r="Y51" s="2" t="n"/>
      <c r="Z51" s="2" t="n"/>
      <c r="AA51" t="inlineStr">
        <is>
          <t> </t>
        </is>
      </c>
      <c r="AB51" s="2" t="n"/>
      <c r="AC51" s="2" t="n"/>
      <c r="AD51" s="2" t="n"/>
      <c r="AE51" s="2" t="n"/>
      <c r="AF51" s="2" t="n"/>
      <c r="AG51" s="2" t="n"/>
      <c r="AH51" s="2" t="n"/>
      <c r="AI51" s="2" t="n"/>
    </row>
    <row r="52">
      <c r="L52" s="34" t="inlineStr">
        <is>
          <t> </t>
        </is>
      </c>
      <c r="Q52" s="38" t="n"/>
      <c r="AA52" t="inlineStr">
        <is>
          <t> </t>
        </is>
      </c>
    </row>
    <row r="53">
      <c r="L53" s="34" t="inlineStr">
        <is>
          <t> </t>
        </is>
      </c>
      <c r="N53" s="2" t="n"/>
      <c r="Q53" s="38" t="n"/>
      <c r="AA53" t="inlineStr">
        <is>
          <t> </t>
        </is>
      </c>
    </row>
    <row r="54">
      <c r="L54" s="34" t="inlineStr">
        <is>
          <t> </t>
        </is>
      </c>
      <c r="Q54" s="38" t="n"/>
      <c r="AA54" t="inlineStr">
        <is>
          <t> </t>
        </is>
      </c>
    </row>
    <row r="55">
      <c r="Q55" s="38" t="n"/>
    </row>
    <row r="56">
      <c r="Q56" s="38" t="n"/>
    </row>
    <row r="57">
      <c r="Q57" s="38" t="n"/>
    </row>
    <row r="58">
      <c r="Q58" s="38" t="n"/>
    </row>
    <row r="59">
      <c r="Q59" s="38" t="n"/>
    </row>
    <row r="60">
      <c r="Q60" s="38" t="n"/>
    </row>
    <row r="61">
      <c r="Q61" s="38" t="n"/>
    </row>
    <row r="62">
      <c r="Q62" s="38" t="n"/>
    </row>
    <row r="63">
      <c r="Q63" s="38" t="n"/>
    </row>
    <row r="64">
      <c r="Q64" s="38" t="n"/>
    </row>
    <row r="65">
      <c r="Q65" s="38" t="n"/>
    </row>
    <row r="66">
      <c r="Q66" s="38" t="n"/>
    </row>
    <row r="67">
      <c r="Q67" s="38" t="n"/>
    </row>
    <row r="68">
      <c r="Q68" s="38" t="n"/>
    </row>
    <row r="69">
      <c r="Q69" s="38" t="n"/>
    </row>
    <row r="70">
      <c r="Q70" s="38" t="n"/>
    </row>
    <row r="71">
      <c r="Q71" s="38" t="n"/>
    </row>
    <row r="72">
      <c r="Q72" s="38" t="n"/>
    </row>
    <row r="73">
      <c r="Q73" s="38" t="n"/>
    </row>
    <row r="74">
      <c r="Q74" s="38" t="n"/>
    </row>
    <row r="75">
      <c r="Q75" s="38" t="n"/>
    </row>
    <row r="76">
      <c r="Q76" s="38" t="n"/>
    </row>
    <row r="77">
      <c r="Q77" s="38" t="n"/>
    </row>
    <row r="78">
      <c r="Q78" s="38" t="n"/>
    </row>
    <row r="79">
      <c r="Q79" s="38" t="n"/>
    </row>
    <row r="80">
      <c r="Q80" s="38" t="n"/>
    </row>
    <row r="81">
      <c r="Q81" s="38" t="n"/>
    </row>
    <row r="82">
      <c r="Q82" s="38" t="n"/>
    </row>
    <row r="83">
      <c r="Q83" s="38" t="n"/>
    </row>
    <row r="84">
      <c r="Q84" s="38" t="n"/>
    </row>
    <row r="85">
      <c r="Q85" s="38" t="n"/>
    </row>
    <row r="86">
      <c r="Q86" s="38" t="n"/>
    </row>
    <row r="87">
      <c r="Q87" s="38" t="n"/>
    </row>
    <row r="88">
      <c r="Q88" s="38" t="n"/>
    </row>
    <row r="89">
      <c r="Q89" s="38" t="n"/>
    </row>
    <row r="90">
      <c r="Q90" s="38" t="n"/>
    </row>
    <row r="91">
      <c r="Q91" s="38" t="n"/>
    </row>
    <row r="92">
      <c r="Q92" s="38" t="n"/>
    </row>
    <row r="93">
      <c r="Q93" s="38" t="n"/>
    </row>
    <row r="94">
      <c r="Q94" s="38" t="n"/>
    </row>
    <row r="95">
      <c r="Q95" s="38" t="n"/>
    </row>
    <row r="96">
      <c r="Q96" s="38" t="n"/>
    </row>
    <row r="97">
      <c r="Q97" s="38" t="n"/>
    </row>
    <row r="98">
      <c r="Q98" s="38" t="n"/>
    </row>
    <row r="99">
      <c r="Q99" s="38" t="n"/>
    </row>
    <row r="100">
      <c r="Q100" s="38" t="n"/>
    </row>
    <row r="101">
      <c r="Q101" s="38" t="n"/>
    </row>
    <row r="102">
      <c r="Q102" s="38" t="n"/>
    </row>
    <row r="103">
      <c r="Q103" s="38" t="n"/>
    </row>
    <row r="104">
      <c r="Q104" s="38" t="n"/>
    </row>
    <row r="105">
      <c r="Q105" s="38" t="n"/>
    </row>
    <row r="106">
      <c r="Q106" s="38" t="n"/>
    </row>
    <row r="107">
      <c r="Q107" s="38" t="n"/>
    </row>
    <row r="108">
      <c r="Q108" s="38" t="n"/>
    </row>
    <row r="109">
      <c r="Q109" s="38" t="n"/>
    </row>
    <row r="110">
      <c r="Q110" s="38" t="n"/>
    </row>
    <row r="111">
      <c r="Q111" s="38" t="n"/>
    </row>
    <row r="112">
      <c r="Q112" s="38" t="n"/>
    </row>
    <row r="113">
      <c r="Q113" s="38" t="n"/>
    </row>
    <row r="114">
      <c r="Q114" s="38" t="n"/>
    </row>
    <row r="115">
      <c r="Q115" s="38" t="n"/>
    </row>
    <row r="116">
      <c r="Q116" s="38" t="n"/>
    </row>
    <row r="117">
      <c r="Q117" s="38" t="n"/>
    </row>
    <row r="118">
      <c r="Q118" s="38" t="n"/>
    </row>
    <row r="119">
      <c r="Q119" s="38" t="n"/>
    </row>
    <row r="120">
      <c r="Q120" s="38" t="n"/>
    </row>
    <row r="121">
      <c r="Q121" s="38" t="n"/>
    </row>
    <row r="122">
      <c r="Q122" s="38" t="n"/>
    </row>
    <row r="123">
      <c r="Q123" s="38" t="n"/>
    </row>
    <row r="124">
      <c r="Q124" s="38" t="n"/>
    </row>
    <row r="125">
      <c r="Q125" s="38" t="n"/>
    </row>
    <row r="126">
      <c r="Q126" s="38" t="n"/>
    </row>
    <row r="127">
      <c r="Q127" s="38" t="n"/>
    </row>
    <row r="128">
      <c r="Q128" s="38" t="n"/>
    </row>
    <row r="129">
      <c r="Q129" s="38" t="n"/>
    </row>
    <row r="130">
      <c r="Q130" s="38" t="n"/>
    </row>
    <row r="131">
      <c r="Q131" s="38" t="n"/>
    </row>
    <row r="132">
      <c r="Q132" s="38" t="n"/>
    </row>
    <row r="133">
      <c r="Q133" s="38" t="n"/>
    </row>
    <row r="134">
      <c r="Q134" s="38" t="n"/>
    </row>
    <row r="135">
      <c r="Q135" s="38" t="n"/>
    </row>
    <row r="136">
      <c r="Q136" s="38" t="n"/>
    </row>
    <row r="137">
      <c r="Q137" s="38" t="n"/>
    </row>
    <row r="138">
      <c r="Q138" s="38" t="n"/>
    </row>
    <row r="139">
      <c r="Q139" s="38" t="n"/>
    </row>
    <row r="140">
      <c r="Q140" s="38" t="n"/>
    </row>
    <row r="141">
      <c r="Q141" s="38" t="n"/>
    </row>
    <row r="142">
      <c r="Q142" s="38" t="n"/>
    </row>
    <row r="143">
      <c r="Q143" s="38" t="n"/>
    </row>
    <row r="144">
      <c r="Q144" s="38" t="n"/>
    </row>
    <row r="145">
      <c r="Q145" s="38" t="n"/>
    </row>
    <row r="146">
      <c r="Q146" s="38" t="n"/>
    </row>
    <row r="147">
      <c r="Q147" s="38" t="n"/>
    </row>
    <row r="148">
      <c r="Q148" s="38" t="n"/>
    </row>
    <row r="149">
      <c r="Q149" s="38" t="n"/>
    </row>
    <row r="150">
      <c r="Q150" s="38" t="n"/>
    </row>
    <row r="151">
      <c r="Q151" s="38" t="n"/>
    </row>
  </sheetData>
  <dataValidations count="6">
    <dataValidation sqref="L65541:L65566 L131077:L131102 L196613:L196638 L262149:L262174 L327685:L327710 L393221:L393246 L458757:L458782 L524293:L524318 L589829:L589854 L655365:L655390 L720901:L720926 L786437:L786462 L851973:L851998 L917509:L917534 L983045:L983070" showDropDown="0" showInputMessage="1" showErrorMessage="1" allowBlank="1" error="MAXIMUM 18 CHARACTERS" type="textLength" operator="lessThanOrEqual">
      <formula1>18</formula1>
    </dataValidation>
    <dataValidation sqref="M65541:M65566 M131077:M131102 M196613:M196638 M262149:M262174 M327685:M327710 M393221:M393246 M458757:M458782 M524293:M524318 M589829:M589854 M655365:M655390 M720901:M720926 M786437:M786462 M851973:M851998 M917509:M917534 M983045:M983070" showDropDown="0" showInputMessage="1" showErrorMessage="1" allowBlank="1" error="UPPER CASE - MAXIMUM 40 CHARACTERS" type="custom">
      <formula1>AND(LEN(M65541)&lt;41, EXACT(M65541,UPPER(M65541)))</formula1>
    </dataValidation>
    <dataValidation sqref="M65567:M65569 M131103:M131105 M196639:M196641 M262175:M262177 M327711:M327713 M393247:M393249 M458783:M458785 M524319:M524321 M589855:M589857 M655391:M655393 M720927:M720929 M786463:M786465 M851999:M852001 M917535:M917537 M983071:M983073" showDropDown="0" showInputMessage="1" showErrorMessage="1" allowBlank="1" type="custom">
      <formula1>AND(LEN(M65566)&lt;41, EXACT(M65566,UPPER(M65566)))</formula1>
    </dataValidation>
    <dataValidation sqref="N52 N65588 N131124 N196660 N262196 N327732 N393268 N458804 N524340 N589876 N655412 N720948 N786484 N852020 N917556 N983092" showDropDown="0" showInputMessage="1" showErrorMessage="1" allowBlank="1" type="custom" operator="lessThanOrEqual">
      <formula1>AND(LEN(N52)&lt;41, EXACT(N52,UPPER(N52)))</formula1>
    </dataValidation>
    <dataValidation sqref="M65536 M131072 M196608 M262144 M327680 M393216 M458752 M524288 M589824 M655360 M720896 M786432 M851968 M917504 M983040 N53:N65534 N65589:N131070 N131125:N196606 N196661:N262142 N262197:N327678 N327733:N393214 N393269:N458750 N458805:N524286 N524341:N589822 N589877:N655358 N655413:N720894 N720949:N786430 N786485:N851966 N852021:N917502 N917557:N983038 N983093:N1048576" showDropDown="0" showInputMessage="1" showErrorMessage="1" allowBlank="1" type="textLength" operator="lessThanOrEqual">
      <formula1>40</formula1>
    </dataValidation>
    <dataValidation sqref="M52:M65534 M65588:M131070 M131124:M196606 M196660:M262142 M262196:M327678 M327732:M393214 M393268:M458750 M458804:M524286 M524340:M589822 M589876:M655358 M655412:M720894 M720948:M786430 M786484:M851966 M852020:M917502 M917556:M983038 M983092:M1048576 N65545 N131081 N196617 N262153 N327689 N393225 N458761 N524297 N589833 N655369 N720905 N786441 N851977 N917513 N983049 Y52:Y2108 Y65588:Y67644 Y131124:Y133180 Y196660:Y198716 Y262196:Y264252 Y327732:Y329788 Y393268:Y395324 Y458804:Y460860 Y524340:Y526396 Y589876:Y591932 Y655412:Y657468 Y720948:Y723004 Y786484:Y788540 Y852020:Y854076 Y917556:Y919612 Y983092:Y985148 AK2:AK25 AK65536 AK65538:AK65561 AK131072 AK131074:AK131097 AK196608 AK196610:AK196633 AK262144 AK262146:AK262169 AK327680 AK327682:AK327705 AK393216 AK393218:AK393241 AK458752 AK458754:AK458777 AK524288 AK524290:AK524313 AK589824 AK589826:AK589849 AK655360 AK655362:AK655385 AK720896 AK720898:AK720921 AK786432 AK786434:AK786457 AK851968 AK851970:AK851993 AK917504 AK917506:AK917529 AK983040 AK983042:AK983065" showDropDown="0" showInputMessage="1" showErrorMessage="1" allowBlank="1" type="textLength" operator="lessThanOrEqual">
      <formula1>18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Pranay Harishchandra</dc:creator>
  <dcterms:created xsi:type="dcterms:W3CDTF">2024-09-24T10:23:45Z</dcterms:created>
  <dcterms:modified xsi:type="dcterms:W3CDTF">2026-08-04T17:46:38Z</dcterms:modified>
  <cp:lastModifiedBy>Pranay Harishchandra</cp:lastModifiedBy>
</cp:coreProperties>
</file>